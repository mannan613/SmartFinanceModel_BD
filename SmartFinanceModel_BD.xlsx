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CDFF9BE-63CE-404A-8590-B2530DD4ECA0}" xr6:coauthVersionLast="47" xr6:coauthVersionMax="47" xr10:uidLastSave="{00000000-0000-0000-0000-000000000000}"/>
  <bookViews>
    <workbookView xWindow="-120" yWindow="-120" windowWidth="20640" windowHeight="11160" firstSheet="6" activeTab="9" xr2:uid="{535AD62B-7BFA-4632-A381-8C2EA5650774}"/>
  </bookViews>
  <sheets>
    <sheet name="Inputs" sheetId="1" r:id="rId1"/>
    <sheet name="Revenue Forecast" sheetId="2" r:id="rId2"/>
    <sheet name="Cost Breakdown" sheetId="3" r:id="rId3"/>
    <sheet name="profit revenue desgin" sheetId="12" state="hidden" r:id="rId4"/>
    <sheet name="cost breakdown desgin" sheetId="13" state="hidden" r:id="rId5"/>
    <sheet name="P&amp;L (Profit &amp; Loss)" sheetId="4" r:id="rId6"/>
    <sheet name="Cash Flow" sheetId="5" r:id="rId7"/>
    <sheet name="Balance Sheet" sheetId="6" r:id="rId8"/>
    <sheet name="Break-Even" sheetId="14" r:id="rId9"/>
    <sheet name="Dashboard" sheetId="10" r:id="rId10"/>
  </sheets>
  <definedNames>
    <definedName name="BE_Contribution">tblBreakEven[Total Contribution (CM)]</definedName>
    <definedName name="BE_Cost">tblBreakEven[Total Variable Cost]+tblBreakEven[Fixed Costs (total)]</definedName>
    <definedName name="BE_Fixed">tblBreakEven[Fixed Costs (total)]</definedName>
    <definedName name="BE_MOS">tblBreakEven[Margin of Safety (%)]</definedName>
    <definedName name="BE_Revenue">tblBreakEven[[Total Revenue ]]</definedName>
    <definedName name="BE_SalesValue">tblBreakEven[Break-even Sales Value]</definedName>
    <definedName name="BE_Units">tblBreakEven[Break-even Units]</definedName>
    <definedName name="BE_Years">tblBreakEven[[Year ]]</definedName>
    <definedName name="CF_ClosingCash">'Cash Flow'!$B$21:$G$21</definedName>
    <definedName name="CF_FinancingCash">'Cash Flow'!$B$18:$G$18</definedName>
    <definedName name="CF_InvestingCash.">'Cash Flow'!$B$12:$G$12</definedName>
    <definedName name="CF_NetChange">'Cash Flow'!$B$19:$G$19</definedName>
    <definedName name="CF_OperatingCash">'Cash Flow'!$B$9:$G$9</definedName>
    <definedName name="EBIT">tblPL[EBIT]</definedName>
    <definedName name="Net_Profit">tblPL[Net Profit]</definedName>
    <definedName name="Profit_Before_Tax">tblPL[Profit Before Tax]</definedName>
    <definedName name="Revenue_Values">tblRevenue[Total Revenue]</definedName>
    <definedName name="Total_Costs">tblCosts[Total Costs]</definedName>
    <definedName name="Total_Fixed_Costs">tblCosts[Total Fixed Costs]</definedName>
    <definedName name="Total_Variable_Costs">tblCosts[Total Variable Costs]</definedName>
    <definedName name="Year_Values.">tblRevenue[Year]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4" l="1"/>
  <c r="I4" i="14"/>
  <c r="I5" i="14"/>
  <c r="I6" i="14"/>
  <c r="I7" i="14"/>
  <c r="I2" i="14"/>
  <c r="H3" i="14"/>
  <c r="H4" i="14"/>
  <c r="H5" i="14"/>
  <c r="H6" i="14"/>
  <c r="H7" i="14"/>
  <c r="H2" i="14"/>
  <c r="G3" i="14"/>
  <c r="G4" i="14"/>
  <c r="G5" i="14"/>
  <c r="G6" i="14"/>
  <c r="G7" i="14"/>
  <c r="G2" i="14"/>
  <c r="F3" i="14"/>
  <c r="F4" i="14"/>
  <c r="F5" i="14"/>
  <c r="F6" i="14"/>
  <c r="F7" i="14"/>
  <c r="F2" i="14"/>
  <c r="D3" i="14"/>
  <c r="D4" i="14"/>
  <c r="D5" i="14"/>
  <c r="D6" i="14"/>
  <c r="D7" i="14"/>
  <c r="D2" i="14"/>
  <c r="E3" i="14"/>
  <c r="E4" i="14"/>
  <c r="E5" i="14"/>
  <c r="E6" i="14"/>
  <c r="E7" i="14"/>
  <c r="E2" i="14"/>
  <c r="C3" i="14"/>
  <c r="C4" i="14"/>
  <c r="C5" i="14"/>
  <c r="C6" i="14"/>
  <c r="C7" i="14"/>
  <c r="C2" i="14"/>
  <c r="B3" i="14"/>
  <c r="B4" i="14"/>
  <c r="B5" i="14"/>
  <c r="B6" i="14"/>
  <c r="B7" i="14"/>
  <c r="B2" i="14"/>
  <c r="J2" i="4"/>
  <c r="K2" i="4" s="1"/>
  <c r="C2" i="4"/>
  <c r="A5" i="10" s="1"/>
  <c r="B2" i="4"/>
  <c r="C12" i="1"/>
  <c r="G20" i="6"/>
  <c r="C20" i="6"/>
  <c r="D20" i="6" s="1"/>
  <c r="E20" i="6" s="1"/>
  <c r="F20" i="6" s="1"/>
  <c r="C17" i="6"/>
  <c r="D17" i="6"/>
  <c r="E17" i="6"/>
  <c r="F17" i="6"/>
  <c r="G17" i="6"/>
  <c r="B17" i="6"/>
  <c r="B11" i="6"/>
  <c r="D18" i="5"/>
  <c r="E18" i="5"/>
  <c r="F18" i="5"/>
  <c r="G18" i="5"/>
  <c r="C18" i="5"/>
  <c r="D15" i="5"/>
  <c r="E15" i="5"/>
  <c r="F15" i="5"/>
  <c r="G15" i="5"/>
  <c r="C15" i="5"/>
  <c r="B18" i="5"/>
  <c r="D12" i="5"/>
  <c r="E12" i="5"/>
  <c r="F12" i="5"/>
  <c r="G12" i="5"/>
  <c r="C12" i="5"/>
  <c r="B12" i="5"/>
  <c r="D11" i="5"/>
  <c r="E11" i="5"/>
  <c r="F11" i="5"/>
  <c r="G11" i="5"/>
  <c r="C11" i="5"/>
  <c r="B11" i="5"/>
  <c r="G5" i="5"/>
  <c r="H3" i="4"/>
  <c r="H4" i="4"/>
  <c r="H5" i="4"/>
  <c r="H6" i="4"/>
  <c r="H2" i="4"/>
  <c r="B37" i="1"/>
  <c r="F3" i="4" s="1"/>
  <c r="E2" i="3"/>
  <c r="E3" i="3" s="1"/>
  <c r="E4" i="3" s="1"/>
  <c r="E5" i="3" s="1"/>
  <c r="E6" i="3" s="1"/>
  <c r="E7" i="3" s="1"/>
  <c r="D2" i="3"/>
  <c r="D3" i="3" s="1"/>
  <c r="D4" i="3" s="1"/>
  <c r="D5" i="3" s="1"/>
  <c r="D6" i="3" s="1"/>
  <c r="D7" i="3" s="1"/>
  <c r="C2" i="3"/>
  <c r="C3" i="3" s="1"/>
  <c r="F2" i="2"/>
  <c r="H2" i="2"/>
  <c r="H3" i="2" s="1"/>
  <c r="H4" i="2" s="1"/>
  <c r="H5" i="2" s="1"/>
  <c r="H6" i="2" s="1"/>
  <c r="H7" i="2" s="1"/>
  <c r="K3" i="2"/>
  <c r="K4" i="2"/>
  <c r="K5" i="2"/>
  <c r="K6" i="2"/>
  <c r="K7" i="2"/>
  <c r="K2" i="2"/>
  <c r="G3" i="2"/>
  <c r="G4" i="2"/>
  <c r="G5" i="2"/>
  <c r="G6" i="2"/>
  <c r="G7" i="2"/>
  <c r="G2" i="2"/>
  <c r="C2" i="2"/>
  <c r="C3" i="2"/>
  <c r="C4" i="2"/>
  <c r="C5" i="2"/>
  <c r="C6" i="2"/>
  <c r="C7" i="2"/>
  <c r="L2" i="2"/>
  <c r="L3" i="2" s="1"/>
  <c r="L4" i="2" s="1"/>
  <c r="L5" i="2" s="1"/>
  <c r="L6" i="2" s="1"/>
  <c r="L7" i="2" s="1"/>
  <c r="J2" i="2"/>
  <c r="D2" i="2"/>
  <c r="D3" i="2" s="1"/>
  <c r="D4" i="2" s="1"/>
  <c r="D5" i="2" s="1"/>
  <c r="D6" i="2" s="1"/>
  <c r="D7" i="2" s="1"/>
  <c r="B2" i="2"/>
  <c r="E2" i="4" l="1"/>
  <c r="C10" i="6"/>
  <c r="C5" i="5"/>
  <c r="F6" i="4"/>
  <c r="F5" i="5" s="1"/>
  <c r="F5" i="4"/>
  <c r="E5" i="5" s="1"/>
  <c r="F4" i="4"/>
  <c r="D5" i="5" s="1"/>
  <c r="F2" i="4"/>
  <c r="B5" i="5" s="1"/>
  <c r="M2" i="2"/>
  <c r="J3" i="2"/>
  <c r="M3" i="2" s="1"/>
  <c r="B3" i="2"/>
  <c r="E3" i="2" s="1"/>
  <c r="F3" i="2"/>
  <c r="F4" i="2" s="1"/>
  <c r="F5" i="2" s="1"/>
  <c r="C4" i="3"/>
  <c r="C5" i="3" s="1"/>
  <c r="C6" i="3" s="1"/>
  <c r="F6" i="3" s="1"/>
  <c r="F3" i="3"/>
  <c r="B4" i="2"/>
  <c r="F2" i="3"/>
  <c r="I2" i="2"/>
  <c r="E2" i="2"/>
  <c r="D10" i="6" l="1"/>
  <c r="C11" i="6"/>
  <c r="J4" i="2"/>
  <c r="J5" i="2" s="1"/>
  <c r="I4" i="2"/>
  <c r="I3" i="2"/>
  <c r="N3" i="2" s="1"/>
  <c r="B3" i="4" s="1"/>
  <c r="F5" i="3"/>
  <c r="D5" i="4" s="1"/>
  <c r="C7" i="3"/>
  <c r="F7" i="3" s="1"/>
  <c r="D7" i="4" s="1"/>
  <c r="F4" i="3"/>
  <c r="D4" i="4" s="1"/>
  <c r="D6" i="4"/>
  <c r="E4" i="2"/>
  <c r="B5" i="2"/>
  <c r="I5" i="2"/>
  <c r="F6" i="2"/>
  <c r="D3" i="4"/>
  <c r="D2" i="4"/>
  <c r="N2" i="2"/>
  <c r="M4" i="2" l="1"/>
  <c r="C5" i="6"/>
  <c r="E10" i="6"/>
  <c r="D11" i="6"/>
  <c r="B3" i="3"/>
  <c r="K3" i="3" s="1"/>
  <c r="I6" i="2"/>
  <c r="F7" i="2"/>
  <c r="I7" i="2" s="1"/>
  <c r="E5" i="2"/>
  <c r="B6" i="2"/>
  <c r="J6" i="2"/>
  <c r="M5" i="2"/>
  <c r="B2" i="3"/>
  <c r="N4" i="2"/>
  <c r="H3" i="3"/>
  <c r="J3" i="3"/>
  <c r="E11" i="6" l="1"/>
  <c r="F10" i="6"/>
  <c r="G3" i="3"/>
  <c r="B5" i="6"/>
  <c r="B6" i="5" s="1"/>
  <c r="I3" i="3"/>
  <c r="E6" i="2"/>
  <c r="B7" i="2"/>
  <c r="E7" i="2" s="1"/>
  <c r="B4" i="3"/>
  <c r="B4" i="4"/>
  <c r="M6" i="2"/>
  <c r="J7" i="2"/>
  <c r="M7" i="2" s="1"/>
  <c r="N5" i="2"/>
  <c r="J2" i="3"/>
  <c r="I2" i="3"/>
  <c r="G2" i="3"/>
  <c r="H2" i="3"/>
  <c r="K2" i="3"/>
  <c r="G10" i="6" l="1"/>
  <c r="G11" i="6" s="1"/>
  <c r="F11" i="6"/>
  <c r="D5" i="6"/>
  <c r="D6" i="5" s="1"/>
  <c r="L3" i="3"/>
  <c r="C3" i="4" s="1"/>
  <c r="C6" i="5"/>
  <c r="L2" i="3"/>
  <c r="M3" i="3"/>
  <c r="N7" i="2"/>
  <c r="J4" i="3"/>
  <c r="I4" i="3"/>
  <c r="K4" i="3"/>
  <c r="H4" i="3"/>
  <c r="G4" i="3"/>
  <c r="B5" i="4"/>
  <c r="B5" i="3"/>
  <c r="N6" i="2"/>
  <c r="E3" i="4" l="1"/>
  <c r="G3" i="4" s="1"/>
  <c r="I3" i="4" s="1"/>
  <c r="J3" i="4" s="1"/>
  <c r="K3" i="4" s="1"/>
  <c r="C4" i="5" s="1"/>
  <c r="C16" i="6"/>
  <c r="C6" i="6"/>
  <c r="E5" i="6"/>
  <c r="E6" i="5" s="1"/>
  <c r="G2" i="4"/>
  <c r="I2" i="4" s="1"/>
  <c r="B6" i="6"/>
  <c r="B7" i="5" s="1"/>
  <c r="B16" i="6"/>
  <c r="M2" i="3"/>
  <c r="B6" i="4"/>
  <c r="B6" i="3"/>
  <c r="L4" i="3"/>
  <c r="H5" i="3"/>
  <c r="K5" i="3"/>
  <c r="I5" i="3"/>
  <c r="G5" i="3"/>
  <c r="J5" i="3"/>
  <c r="B7" i="3"/>
  <c r="B7" i="4"/>
  <c r="B8" i="5" l="1"/>
  <c r="B19" i="6"/>
  <c r="B21" i="6" s="1"/>
  <c r="G5" i="6"/>
  <c r="C7" i="5"/>
  <c r="C9" i="5" s="1"/>
  <c r="C19" i="5" s="1"/>
  <c r="C21" i="5" s="1"/>
  <c r="C4" i="6" s="1"/>
  <c r="C8" i="6" s="1"/>
  <c r="C12" i="6" s="1"/>
  <c r="F5" i="6"/>
  <c r="F6" i="5" s="1"/>
  <c r="C19" i="6"/>
  <c r="C21" i="6" s="1"/>
  <c r="C8" i="5"/>
  <c r="L5" i="3"/>
  <c r="M5" i="3" s="1"/>
  <c r="C4" i="4"/>
  <c r="M4" i="3"/>
  <c r="K6" i="3"/>
  <c r="G6" i="3"/>
  <c r="J6" i="3"/>
  <c r="H6" i="3"/>
  <c r="I6" i="3"/>
  <c r="H7" i="3"/>
  <c r="J7" i="3"/>
  <c r="K7" i="3"/>
  <c r="I7" i="3"/>
  <c r="G7" i="3"/>
  <c r="C5" i="4" l="1"/>
  <c r="E6" i="6" s="1"/>
  <c r="G6" i="5"/>
  <c r="E5" i="4"/>
  <c r="G5" i="4" s="1"/>
  <c r="I5" i="4" s="1"/>
  <c r="E16" i="6"/>
  <c r="E4" i="4"/>
  <c r="G4" i="4" s="1"/>
  <c r="I4" i="4" s="1"/>
  <c r="J4" i="4" s="1"/>
  <c r="K4" i="4" s="1"/>
  <c r="D4" i="5" s="1"/>
  <c r="D16" i="6"/>
  <c r="D6" i="6"/>
  <c r="D7" i="5" s="1"/>
  <c r="B4" i="5"/>
  <c r="B9" i="5" s="1"/>
  <c r="B19" i="5" s="1"/>
  <c r="B21" i="5" s="1"/>
  <c r="B4" i="6" s="1"/>
  <c r="B8" i="6" s="1"/>
  <c r="B12" i="6" s="1"/>
  <c r="B24" i="6"/>
  <c r="L7" i="3"/>
  <c r="L6" i="3"/>
  <c r="E7" i="5" l="1"/>
  <c r="B25" i="6"/>
  <c r="B26" i="6" s="1"/>
  <c r="C24" i="6"/>
  <c r="E19" i="6"/>
  <c r="E21" i="6" s="1"/>
  <c r="E8" i="5"/>
  <c r="D19" i="6"/>
  <c r="D21" i="6" s="1"/>
  <c r="D8" i="5"/>
  <c r="D9" i="5" s="1"/>
  <c r="D19" i="5" s="1"/>
  <c r="D21" i="5" s="1"/>
  <c r="D4" i="6" s="1"/>
  <c r="D8" i="6" s="1"/>
  <c r="D12" i="6" s="1"/>
  <c r="J5" i="4"/>
  <c r="K5" i="4" s="1"/>
  <c r="E4" i="5" s="1"/>
  <c r="C6" i="4"/>
  <c r="M6" i="3"/>
  <c r="C7" i="4"/>
  <c r="M7" i="3"/>
  <c r="E9" i="5" l="1"/>
  <c r="E19" i="5" s="1"/>
  <c r="E21" i="5" s="1"/>
  <c r="E4" i="6" s="1"/>
  <c r="E8" i="6" s="1"/>
  <c r="E12" i="6" s="1"/>
  <c r="E7" i="4"/>
  <c r="G7" i="4" s="1"/>
  <c r="I7" i="4" s="1"/>
  <c r="G16" i="6"/>
  <c r="G6" i="6"/>
  <c r="C25" i="6"/>
  <c r="C26" i="6" s="1"/>
  <c r="D24" i="6"/>
  <c r="E6" i="4"/>
  <c r="G6" i="4" s="1"/>
  <c r="I6" i="4" s="1"/>
  <c r="J6" i="4" s="1"/>
  <c r="K6" i="4" s="1"/>
  <c r="F4" i="5" s="1"/>
  <c r="F16" i="6"/>
  <c r="F6" i="6"/>
  <c r="F7" i="5" s="1"/>
  <c r="J7" i="4"/>
  <c r="K7" i="4" s="1"/>
  <c r="G4" i="5" s="1"/>
  <c r="G7" i="5" l="1"/>
  <c r="E24" i="6"/>
  <c r="D25" i="6"/>
  <c r="D26" i="6" s="1"/>
  <c r="G9" i="5"/>
  <c r="G19" i="5" s="1"/>
  <c r="G21" i="5" s="1"/>
  <c r="G4" i="6" s="1"/>
  <c r="G8" i="6" s="1"/>
  <c r="G12" i="6" s="1"/>
  <c r="G19" i="6"/>
  <c r="G21" i="6" s="1"/>
  <c r="G8" i="5"/>
  <c r="F19" i="6"/>
  <c r="F21" i="6" s="1"/>
  <c r="F8" i="5"/>
  <c r="F9" i="5" s="1"/>
  <c r="F19" i="5" s="1"/>
  <c r="F21" i="5" s="1"/>
  <c r="F4" i="6" s="1"/>
  <c r="F8" i="6" s="1"/>
  <c r="F12" i="6" s="1"/>
  <c r="F24" i="6" l="1"/>
  <c r="E25" i="6"/>
  <c r="E26" i="6" s="1"/>
  <c r="G24" i="6" l="1"/>
  <c r="G25" i="6" s="1"/>
  <c r="G26" i="6" s="1"/>
  <c r="F25" i="6"/>
  <c r="F26" i="6" s="1"/>
</calcChain>
</file>

<file path=xl/sharedStrings.xml><?xml version="1.0" encoding="utf-8"?>
<sst xmlns="http://schemas.openxmlformats.org/spreadsheetml/2006/main" count="209" uniqueCount="172">
  <si>
    <t>General Assumptions</t>
  </si>
  <si>
    <t>Category</t>
  </si>
  <si>
    <t>Value</t>
  </si>
  <si>
    <t>Notes</t>
  </si>
  <si>
    <t>Start Year</t>
  </si>
  <si>
    <t>Model starting year</t>
  </si>
  <si>
    <t>Currency</t>
  </si>
  <si>
    <t>BDT</t>
  </si>
  <si>
    <t>Base currency</t>
  </si>
  <si>
    <t>Inflation Rate (%)</t>
  </si>
  <si>
    <t>6%</t>
  </si>
  <si>
    <t>Annual inflation</t>
  </si>
  <si>
    <t>Sales Assumptions</t>
  </si>
  <si>
    <t>Product/Service</t>
  </si>
  <si>
    <t>Unit Price (BDT)</t>
  </si>
  <si>
    <t>Monthly Volume</t>
  </si>
  <si>
    <t>Growth Rate (%)</t>
  </si>
  <si>
    <t>Product A</t>
  </si>
  <si>
    <t>5%</t>
  </si>
  <si>
    <t>Product B</t>
  </si>
  <si>
    <t>3%</t>
  </si>
  <si>
    <t>Service C</t>
  </si>
  <si>
    <t>4%</t>
  </si>
  <si>
    <t>Fixed Costs</t>
  </si>
  <si>
    <t>Cost Item</t>
  </si>
  <si>
    <t>Monthly Cost (BDT)</t>
  </si>
  <si>
    <t>Annual Growth (%)</t>
  </si>
  <si>
    <t>Rent</t>
  </si>
  <si>
    <t>Office space</t>
  </si>
  <si>
    <t>Salaries</t>
  </si>
  <si>
    <t>7%</t>
  </si>
  <si>
    <t>Staff salaries</t>
  </si>
  <si>
    <t>Utilities</t>
  </si>
  <si>
    <t>Electricity, Internet</t>
  </si>
  <si>
    <t>Variable Costs</t>
  </si>
  <si>
    <t>% of Sales Revenue</t>
  </si>
  <si>
    <t>Raw Materials</t>
  </si>
  <si>
    <t>30%</t>
  </si>
  <si>
    <t>Based on sales</t>
  </si>
  <si>
    <t>Packaging</t>
  </si>
  <si>
    <t>Per product</t>
  </si>
  <si>
    <t>Delivery</t>
  </si>
  <si>
    <t>Per order</t>
  </si>
  <si>
    <t>Investment &amp; Loan</t>
  </si>
  <si>
    <t>Item</t>
  </si>
  <si>
    <t>Value (BDT)</t>
  </si>
  <si>
    <t>Interest Rate (%)</t>
  </si>
  <si>
    <t>Term (Years)</t>
  </si>
  <si>
    <t>Initial Investment</t>
  </si>
  <si>
    <t>-</t>
  </si>
  <si>
    <t>Bank Loan</t>
  </si>
  <si>
    <t>10%</t>
  </si>
  <si>
    <t>Rate/Value</t>
  </si>
  <si>
    <t>Corporate Tax Rate</t>
  </si>
  <si>
    <t>25%</t>
  </si>
  <si>
    <t>Depreciation Rate (%)</t>
  </si>
  <si>
    <t>Working Capital Assumptions</t>
  </si>
  <si>
    <t>Value (Days)</t>
  </si>
  <si>
    <t>Accounts Receivable</t>
  </si>
  <si>
    <t>Customer payment terms</t>
  </si>
  <si>
    <t>Inventory Holding</t>
  </si>
  <si>
    <t>Avg days stock held</t>
  </si>
  <si>
    <t>Accounts Payable</t>
  </si>
  <si>
    <t>Supplier payment terms</t>
  </si>
  <si>
    <t>Commission / Transaction fees</t>
  </si>
  <si>
    <t xml:space="preserve">On sales </t>
  </si>
  <si>
    <t>Marketing</t>
  </si>
  <si>
    <t xml:space="preserve">Basis on sales </t>
  </si>
  <si>
    <t>Year</t>
  </si>
  <si>
    <t>Product A Units</t>
  </si>
  <si>
    <t>Growth % A</t>
  </si>
  <si>
    <t>Product A Unit Price</t>
  </si>
  <si>
    <t>Revenue A</t>
  </si>
  <si>
    <t>Product B Units</t>
  </si>
  <si>
    <t>Growth % B</t>
  </si>
  <si>
    <t>Product B Unit Price</t>
  </si>
  <si>
    <t>Revenue B</t>
  </si>
  <si>
    <t>Service C Units</t>
  </si>
  <si>
    <t>Growth % C</t>
  </si>
  <si>
    <t>Service C Unit Price</t>
  </si>
  <si>
    <t>Revenue C</t>
  </si>
  <si>
    <t>Total Revenue</t>
  </si>
  <si>
    <t>Total Fixed Costs</t>
  </si>
  <si>
    <t>Raw Materials (30%)</t>
  </si>
  <si>
    <t>Packaging (5%)</t>
  </si>
  <si>
    <t>Delivery (3%)</t>
  </si>
  <si>
    <t>Commission (2%)</t>
  </si>
  <si>
    <t>Marketing (5%)</t>
  </si>
  <si>
    <t>Total Variable Costs</t>
  </si>
  <si>
    <t>Total Costs</t>
  </si>
  <si>
    <t>EBITDA (Revenue – (Fixed + Variable))</t>
  </si>
  <si>
    <t>Depreciation</t>
  </si>
  <si>
    <t>EBIT</t>
  </si>
  <si>
    <t>Interest</t>
  </si>
  <si>
    <t>Profit Before Tax</t>
  </si>
  <si>
    <t>Tax</t>
  </si>
  <si>
    <t>Net Profit</t>
  </si>
  <si>
    <t xml:space="preserve">Fixed Assets </t>
  </si>
  <si>
    <t>Office Equipment</t>
  </si>
  <si>
    <t>Furniture &amp; Fixture</t>
  </si>
  <si>
    <t>Useful Life (Years)</t>
  </si>
  <si>
    <t>Computers, printer</t>
  </si>
  <si>
    <t>Office furniture</t>
  </si>
  <si>
    <t>Total Assets</t>
  </si>
  <si>
    <t>Matches Initial Investment</t>
  </si>
  <si>
    <t>2025</t>
  </si>
  <si>
    <t>2026</t>
  </si>
  <si>
    <t>2027</t>
  </si>
  <si>
    <t>2028</t>
  </si>
  <si>
    <t>2029</t>
  </si>
  <si>
    <t>2030</t>
  </si>
  <si>
    <t>ASSETS</t>
  </si>
  <si>
    <t>Current Assets</t>
  </si>
  <si>
    <t>Cash &amp; Cash Equivalents</t>
  </si>
  <si>
    <t>Inventory</t>
  </si>
  <si>
    <t>Other Current Assets</t>
  </si>
  <si>
    <t>Total Current Assets</t>
  </si>
  <si>
    <t>Fixed Assets (Gross)</t>
  </si>
  <si>
    <t>Less: Accumulated Depreciation</t>
  </si>
  <si>
    <t>Net Fixed Assets</t>
  </si>
  <si>
    <t>LIABILITIES &amp; EQUITY</t>
  </si>
  <si>
    <t>Current Liabilities</t>
  </si>
  <si>
    <t>Short-Term Debt</t>
  </si>
  <si>
    <t>Other Current Liabilities</t>
  </si>
  <si>
    <t>Total Current Liabilities</t>
  </si>
  <si>
    <t>Long-Term Debt</t>
  </si>
  <si>
    <t>Total Liabilities</t>
  </si>
  <si>
    <t>Equity</t>
  </si>
  <si>
    <t>Share Capital</t>
  </si>
  <si>
    <t>Retained Earnings</t>
  </si>
  <si>
    <t>Total Equity</t>
  </si>
  <si>
    <t>Total Liabilities &amp; Equity</t>
  </si>
  <si>
    <t>Account / Title</t>
  </si>
  <si>
    <t xml:space="preserve">Tax &amp; Depreciation  </t>
  </si>
  <si>
    <t xml:space="preserve">                                                                          Standard tax</t>
  </si>
  <si>
    <t xml:space="preserve">                                                                           On fixed assets</t>
  </si>
  <si>
    <t>Operating Activities</t>
  </si>
  <si>
    <t>Net Profit (from P&amp;L)</t>
  </si>
  <si>
    <t>Add: Depreciation &amp; Amortization</t>
  </si>
  <si>
    <t>Less: Increase in Accounts Receivable</t>
  </si>
  <si>
    <t>Less: Increase in Inventory</t>
  </si>
  <si>
    <t>Add: Increase in Accounts Payable</t>
  </si>
  <si>
    <t>Net Cash from Operating Activities</t>
  </si>
  <si>
    <t>Investing Activities</t>
  </si>
  <si>
    <t>Capital Expenditures (CapEx)</t>
  </si>
  <si>
    <t>Net Cash from Investing Activities</t>
  </si>
  <si>
    <t>Financing Activities</t>
  </si>
  <si>
    <t>Loan Drawdown (+)</t>
  </si>
  <si>
    <t>Loan Principal Repayment (-)</t>
  </si>
  <si>
    <t>Equity Injection (+)</t>
  </si>
  <si>
    <t>Dividend Paid (-)</t>
  </si>
  <si>
    <t>Net Cash from Financing Activities</t>
  </si>
  <si>
    <t>Net Change in Cash</t>
  </si>
  <si>
    <t>Opening Cash Balance</t>
  </si>
  <si>
    <t>Closing Cash Balance (Link to B/S)</t>
  </si>
  <si>
    <t xml:space="preserve"> </t>
  </si>
  <si>
    <t>Total Variable Cost</t>
  </si>
  <si>
    <t>Contribution per unit</t>
  </si>
  <si>
    <t>Total Contribution (CM)</t>
  </si>
  <si>
    <t>Fixed Costs (total)</t>
  </si>
  <si>
    <t>Break-even Units</t>
  </si>
  <si>
    <t>Break-even Sales Value</t>
  </si>
  <si>
    <t>Margin of Safety (%)</t>
  </si>
  <si>
    <t xml:space="preserve">Annual units </t>
  </si>
  <si>
    <t>Row Labels</t>
  </si>
  <si>
    <t>Grand Total</t>
  </si>
  <si>
    <t>Sum of Net Profit</t>
  </si>
  <si>
    <t>Sum of Total Revenue</t>
  </si>
  <si>
    <t>Sum of Total Variable Costs</t>
  </si>
  <si>
    <t>Sum of Total Fixed Costs</t>
  </si>
  <si>
    <t xml:space="preserve">Year </t>
  </si>
  <si>
    <t xml:space="preserve">Total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</si>
</sst>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9" fontId="0" fillId="3" borderId="0" xfId="0" applyNumberFormat="1" applyFill="1"/>
    <xf numFmtId="0" fontId="0" fillId="3" borderId="0" xfId="0" applyFill="1" applyAlignment="1">
      <alignment horizontal="right" vertical="top"/>
    </xf>
    <xf numFmtId="0" fontId="0" fillId="3" borderId="0" xfId="0" applyFill="1" applyAlignment="1">
      <alignment horizontal="left" indent="11"/>
    </xf>
    <xf numFmtId="0" fontId="0" fillId="0" borderId="0" xfId="0" applyAlignment="1">
      <alignment horizontal="left" indent="33"/>
    </xf>
    <xf numFmtId="9" fontId="0" fillId="0" borderId="0" xfId="0" applyNumberFormat="1" applyAlignment="1">
      <alignment horizontal="left" indent="41"/>
    </xf>
    <xf numFmtId="0" fontId="0" fillId="0" borderId="0" xfId="0" applyAlignment="1">
      <alignment horizontal="left" indent="41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3" fontId="0" fillId="0" borderId="0" xfId="0" applyNumberFormat="1" applyAlignment="1">
      <alignment vertical="center" wrapText="1"/>
    </xf>
    <xf numFmtId="3" fontId="0" fillId="0" borderId="0" xfId="0" applyNumberFormat="1"/>
    <xf numFmtId="0" fontId="0" fillId="0" borderId="0" xfId="0" applyAlignment="1">
      <alignment horizontal="right"/>
    </xf>
    <xf numFmtId="0" fontId="0" fillId="6" borderId="0" xfId="0" applyFill="1"/>
    <xf numFmtId="0" fontId="0" fillId="0" borderId="0" xfId="0" applyAlignment="1">
      <alignment horizontal="right" indent="4"/>
    </xf>
    <xf numFmtId="0" fontId="0" fillId="0" borderId="0" xfId="0" applyAlignment="1">
      <alignment horizontal="center"/>
    </xf>
    <xf numFmtId="0" fontId="0" fillId="0" borderId="0" xfId="0" applyAlignment="1">
      <alignment horizontal="right" indent="3"/>
    </xf>
    <xf numFmtId="0" fontId="4" fillId="7" borderId="0" xfId="0" applyFont="1" applyFill="1"/>
    <xf numFmtId="9" fontId="0" fillId="0" borderId="0" xfId="0" applyNumberFormat="1"/>
    <xf numFmtId="0" fontId="5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5" borderId="0" xfId="0" applyFont="1" applyFill="1"/>
    <xf numFmtId="3" fontId="7" fillId="0" borderId="0" xfId="0" applyNumberFormat="1" applyFont="1" applyFill="1"/>
    <xf numFmtId="0" fontId="0" fillId="0" borderId="0" xfId="0" applyFill="1"/>
  </cellXfs>
  <cellStyles count="1">
    <cellStyle name="Normal" xfId="0" builtinId="0"/>
  </cellStyles>
  <dxfs count="53">
    <dxf>
      <numFmt numFmtId="13" formatCode="0%"/>
    </dxf>
    <dxf>
      <numFmt numFmtId="2" formatCode="0.00"/>
    </dxf>
    <dxf>
      <numFmt numFmtId="2" formatCode="0.00"/>
    </dxf>
    <dxf>
      <numFmt numFmtId="3" formatCode="#,##0"/>
    </dxf>
    <dxf>
      <numFmt numFmtId="3" formatCode="#,##0"/>
    </dxf>
    <dxf>
      <numFmt numFmtId="2" formatCode="0.00"/>
    </dxf>
    <dxf>
      <numFmt numFmtId="3" formatCode="#,##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" formatCode="#,##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2F5597"/>
      <color rgb="FF6DD98A"/>
      <color rgb="FF2E5AAC"/>
      <color rgb="FFED7D31"/>
      <color rgb="FFEF6C00"/>
      <color rgb="FF2E7D32"/>
      <color rgb="FF00695C"/>
      <color rgb="FF1F4E79"/>
      <color rgb="FF333333"/>
      <color rgb="FF66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[SmartFinanceModel_BD.xlsx.xlsx]profit revenue desgin!PivotTable1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Profit </a:t>
            </a:r>
            <a:r>
              <a:rPr lang="en-US" baseline="0">
                <a:solidFill>
                  <a:schemeClr val="tx1"/>
                </a:solidFill>
              </a:rPr>
              <a:t>&amp; Revenue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426855473544187"/>
          <c:y val="3.06927891630500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5AAC">
              <a:alpha val="8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6DD9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revenue desgin'!$B$3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2E5AAC">
                <a:alpha val="82000"/>
              </a:srgbClr>
            </a:solidFill>
            <a:ln>
              <a:noFill/>
            </a:ln>
            <a:effectLst/>
          </c:spPr>
          <c:invertIfNegative val="0"/>
          <c:cat>
            <c:strRef>
              <c:f>'profit revenue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'profit revenue desgin'!$B$4:$B$10</c:f>
              <c:numCache>
                <c:formatCode>General</c:formatCode>
                <c:ptCount val="6"/>
                <c:pt idx="0">
                  <c:v>13680000</c:v>
                </c:pt>
                <c:pt idx="1">
                  <c:v>14418912</c:v>
                </c:pt>
                <c:pt idx="2">
                  <c:v>16233653.740800001</c:v>
                </c:pt>
                <c:pt idx="3">
                  <c:v>17909655.677886724</c:v>
                </c:pt>
                <c:pt idx="4">
                  <c:v>19760111.365390971</c:v>
                </c:pt>
                <c:pt idx="5">
                  <c:v>21803322.822815571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3-4B45-8DE3-B2E0D9763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354383"/>
        <c:axId val="289326543"/>
      </c:barChart>
      <c:lineChart>
        <c:grouping val="standard"/>
        <c:varyColors val="0"/>
        <c:ser>
          <c:idx val="1"/>
          <c:order val="1"/>
          <c:tx>
            <c:strRef>
              <c:f>'profit revenue desgin'!$C$3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rgbClr val="6DD98A"/>
              </a:solidFill>
              <a:round/>
            </a:ln>
            <a:effectLst/>
          </c:spPr>
          <c:marker>
            <c:symbol val="none"/>
          </c:marker>
          <c:cat>
            <c:strRef>
              <c:f>'profit revenue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'profit revenue desgin'!$C$4:$C$10</c:f>
              <c:numCache>
                <c:formatCode>#,##0</c:formatCode>
                <c:ptCount val="6"/>
                <c:pt idx="0">
                  <c:v>5316750</c:v>
                </c:pt>
                <c:pt idx="1">
                  <c:v>5608576.1999999993</c:v>
                </c:pt>
                <c:pt idx="2">
                  <c:v>6342541.9180800011</c:v>
                </c:pt>
                <c:pt idx="3">
                  <c:v>7019537.0571282757</c:v>
                </c:pt>
                <c:pt idx="4">
                  <c:v>7769312.158323776</c:v>
                </c:pt>
                <c:pt idx="5">
                  <c:v>8721421.611270424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3-4B45-8DE3-B2E0D9763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354383"/>
        <c:axId val="289326543"/>
      </c:lineChart>
      <c:catAx>
        <c:axId val="28935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26543"/>
        <c:crosses val="autoZero"/>
        <c:auto val="1"/>
        <c:lblAlgn val="ctr"/>
        <c:lblOffset val="100"/>
        <c:noMultiLvlLbl val="0"/>
      </c:catAx>
      <c:valAx>
        <c:axId val="2893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,,&quot;M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5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[SmartFinanceModel_BD.xlsx.xlsx]cost breakdown desgin!PivotTable2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Cost Breakdown</a:t>
            </a:r>
          </a:p>
        </c:rich>
      </c:tx>
      <c:layout>
        <c:manualLayout>
          <c:xMode val="edge"/>
          <c:yMode val="edge"/>
          <c:x val="0.3368542346840791"/>
          <c:y val="3.718317704948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0993810107695263"/>
          <c:y val="0.12241365164427305"/>
          <c:w val="0.55967840662516466"/>
          <c:h val="0.75257727492801263"/>
        </c:manualLayout>
      </c:layout>
      <c:doughnutChart>
        <c:varyColors val="1"/>
        <c:ser>
          <c:idx val="0"/>
          <c:order val="0"/>
          <c:tx>
            <c:strRef>
              <c:f>'cost breakdown desgin'!$B$3</c:f>
              <c:strCache>
                <c:ptCount val="1"/>
                <c:pt idx="0">
                  <c:v>Sum of Total Variable Costs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FDA-4DB4-B007-6865C39671A9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FDA-4DB4-B007-6865C39671A9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FDA-4DB4-B007-6865C39671A9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FDA-4DB4-B007-6865C39671A9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FDA-4DB4-B007-6865C39671A9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FDA-4DB4-B007-6865C39671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breakdown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'cost breakdown desgin'!$B$4:$B$10</c:f>
              <c:numCache>
                <c:formatCode>#,##0</c:formatCode>
                <c:ptCount val="6"/>
                <c:pt idx="0">
                  <c:v>6156000</c:v>
                </c:pt>
                <c:pt idx="1">
                  <c:v>6488510.4000000004</c:v>
                </c:pt>
                <c:pt idx="2">
                  <c:v>7305144.1833600001</c:v>
                </c:pt>
                <c:pt idx="3">
                  <c:v>8059345.0550490245</c:v>
                </c:pt>
                <c:pt idx="4">
                  <c:v>8892050.1144259367</c:v>
                </c:pt>
                <c:pt idx="5">
                  <c:v>9811495.270267006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EC-49C6-85AB-AB6BCF4B2442}"/>
            </c:ext>
          </c:extLst>
        </c:ser>
        <c:ser>
          <c:idx val="1"/>
          <c:order val="1"/>
          <c:tx>
            <c:strRef>
              <c:f>'cost breakdown desgin'!$C$3</c:f>
              <c:strCache>
                <c:ptCount val="1"/>
                <c:pt idx="0">
                  <c:v>Sum of Total Fixed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FDA-4DB4-B007-6865C39671A9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FDA-4DB4-B007-6865C39671A9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FDA-4DB4-B007-6865C39671A9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FDA-4DB4-B007-6865C39671A9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FDA-4DB4-B007-6865C39671A9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FDA-4DB4-B007-6865C39671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breakdown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'cost breakdown desgin'!$C$4:$C$10</c:f>
              <c:numCache>
                <c:formatCode>#,##0</c:formatCode>
                <c:ptCount val="6"/>
                <c:pt idx="0">
                  <c:v>270000</c:v>
                </c:pt>
                <c:pt idx="1">
                  <c:v>287300</c:v>
                </c:pt>
                <c:pt idx="2">
                  <c:v>306787</c:v>
                </c:pt>
                <c:pt idx="3">
                  <c:v>325927.88</c:v>
                </c:pt>
                <c:pt idx="4">
                  <c:v>343978.37320000003</c:v>
                </c:pt>
                <c:pt idx="5">
                  <c:v>363265.40418800013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EC-49C6-85AB-AB6BCF4B244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Balance</a:t>
            </a:r>
            <a:r>
              <a:rPr lang="en-US" b="1" baseline="0">
                <a:solidFill>
                  <a:schemeClr val="tx1"/>
                </a:solidFill>
              </a:rPr>
              <a:t> sheet</a:t>
            </a:r>
            <a:r>
              <a:rPr lang="en-US" b="1">
                <a:solidFill>
                  <a:schemeClr val="tx1"/>
                </a:solidFill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425154073816522"/>
          <c:y val="0.16677173152184285"/>
          <c:w val="0.56753486523881702"/>
          <c:h val="0.67029181846383912"/>
        </c:manualLayout>
      </c:layout>
      <c:pieChart>
        <c:varyColors val="1"/>
        <c:ser>
          <c:idx val="0"/>
          <c:order val="0"/>
          <c:tx>
            <c:v>total asstes 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'Balance Sheet'!$B$12:$E$12</c:f>
              <c:numCache>
                <c:formatCode>#,##0</c:formatCode>
                <c:ptCount val="4"/>
                <c:pt idx="0">
                  <c:v>7238393.8356164386</c:v>
                </c:pt>
                <c:pt idx="1">
                  <c:v>12769744.515068492</c:v>
                </c:pt>
                <c:pt idx="2">
                  <c:v>19068220.610090964</c:v>
                </c:pt>
                <c:pt idx="3">
                  <c:v>26039415.434343141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4A0E-A93F-F60DDED81B8D}"/>
            </c:ext>
          </c:extLst>
        </c:ser>
        <c:ser>
          <c:idx val="1"/>
          <c:order val="1"/>
          <c:tx>
            <c:v>Total libalites 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'Balance Sheet'!$B$26:$G$26</c:f>
              <c:numCache>
                <c:formatCode>#,##0</c:formatCode>
                <c:ptCount val="6"/>
                <c:pt idx="0">
                  <c:v>7238393.8356164386</c:v>
                </c:pt>
                <c:pt idx="1">
                  <c:v>12769744.720547944</c:v>
                </c:pt>
                <c:pt idx="2">
                  <c:v>19068220.459406029</c:v>
                </c:pt>
                <c:pt idx="3">
                  <c:v>26039415.11048561</c:v>
                </c:pt>
                <c:pt idx="4">
                  <c:v>33765761.861917391</c:v>
                </c:pt>
                <c:pt idx="5">
                  <c:v>42450159.168793365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48-4A0E-A93F-F60DDED81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[SmartFinanceModel_BD.xlsx.xlsx]profit revenue desgin!PivotTable1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 </a:t>
            </a:r>
            <a:r>
              <a:rPr lang="en-US" b="1" baseline="0">
                <a:solidFill>
                  <a:schemeClr val="tx1"/>
                </a:solidFill>
              </a:rPr>
              <a:t>&amp; Revenue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868349237802231"/>
          <c:y val="3.82772888683032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5AAC">
              <a:alpha val="8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6DD9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E5AAC">
              <a:alpha val="8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6DD9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E5AAC">
              <a:alpha val="82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6DD98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revenue desgin'!$B$3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rgbClr val="2E5AAC">
                <a:alpha val="82000"/>
              </a:srgbClr>
            </a:solidFill>
            <a:ln>
              <a:noFill/>
            </a:ln>
            <a:effectLst/>
          </c:spPr>
          <c:invertIfNegative val="0"/>
          <c:cat>
            <c:strRef>
              <c:f>'profit revenue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'profit revenue desgin'!$B$4:$B$10</c:f>
              <c:numCache>
                <c:formatCode>General</c:formatCode>
                <c:ptCount val="6"/>
                <c:pt idx="0">
                  <c:v>13680000</c:v>
                </c:pt>
                <c:pt idx="1">
                  <c:v>14418912</c:v>
                </c:pt>
                <c:pt idx="2">
                  <c:v>16233653.740800001</c:v>
                </c:pt>
                <c:pt idx="3">
                  <c:v>17909655.677886724</c:v>
                </c:pt>
                <c:pt idx="4">
                  <c:v>19760111.365390971</c:v>
                </c:pt>
                <c:pt idx="5">
                  <c:v>21803322.822815571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2-40F4-8DFD-442CB2B5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9354383"/>
        <c:axId val="289326543"/>
      </c:barChart>
      <c:lineChart>
        <c:grouping val="standard"/>
        <c:varyColors val="0"/>
        <c:ser>
          <c:idx val="1"/>
          <c:order val="1"/>
          <c:tx>
            <c:strRef>
              <c:f>'profit revenue desgin'!$C$3</c:f>
              <c:strCache>
                <c:ptCount val="1"/>
                <c:pt idx="0">
                  <c:v>Sum of Net Profit</c:v>
                </c:pt>
              </c:strCache>
            </c:strRef>
          </c:tx>
          <c:spPr>
            <a:ln w="28575" cap="rnd">
              <a:solidFill>
                <a:srgbClr val="6DD98A"/>
              </a:solidFill>
              <a:round/>
            </a:ln>
            <a:effectLst/>
          </c:spPr>
          <c:marker>
            <c:symbol val="none"/>
          </c:marker>
          <c:cat>
            <c:strRef>
              <c:f>'profit revenue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'profit revenue desgin'!$C$4:$C$10</c:f>
              <c:numCache>
                <c:formatCode>#,##0</c:formatCode>
                <c:ptCount val="6"/>
                <c:pt idx="0">
                  <c:v>5316750</c:v>
                </c:pt>
                <c:pt idx="1">
                  <c:v>5608576.1999999993</c:v>
                </c:pt>
                <c:pt idx="2">
                  <c:v>6342541.9180800011</c:v>
                </c:pt>
                <c:pt idx="3">
                  <c:v>7019537.0571282757</c:v>
                </c:pt>
                <c:pt idx="4">
                  <c:v>7769312.158323776</c:v>
                </c:pt>
                <c:pt idx="5">
                  <c:v>8721421.611270424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42-40F4-8DFD-442CB2B5F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354383"/>
        <c:axId val="289326543"/>
      </c:lineChart>
      <c:catAx>
        <c:axId val="28935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26543"/>
        <c:crosses val="autoZero"/>
        <c:auto val="1"/>
        <c:lblAlgn val="ctr"/>
        <c:lblOffset val="100"/>
        <c:noMultiLvlLbl val="0"/>
      </c:catAx>
      <c:valAx>
        <c:axId val="28932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&gt;999999]0,,&quot;M&quot;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354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[SmartFinanceModel_BD.xlsx.xlsx]cost breakdown desgin!PivotTable2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Cost Breakdown</a:t>
            </a:r>
          </a:p>
        </c:rich>
      </c:tx>
      <c:layout>
        <c:manualLayout>
          <c:xMode val="edge"/>
          <c:yMode val="edge"/>
          <c:x val="0.3368542346840791"/>
          <c:y val="3.718317704948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0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8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6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0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4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shade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spPr>
          <a:solidFill>
            <a:schemeClr val="accent1">
              <a:shade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8"/>
        <c:spPr>
          <a:solidFill>
            <a:schemeClr val="accent1">
              <a:shade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9"/>
        <c:spPr>
          <a:solidFill>
            <a:schemeClr val="accent1">
              <a:tint val="9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0"/>
        <c:spPr>
          <a:solidFill>
            <a:schemeClr val="accent1">
              <a:tint val="7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1"/>
        <c:spPr>
          <a:solidFill>
            <a:schemeClr val="accent1">
              <a:tint val="5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0993810107695263"/>
          <c:y val="0.12241365164427305"/>
          <c:w val="0.55967840662516466"/>
          <c:h val="0.75257727492801263"/>
        </c:manualLayout>
      </c:layout>
      <c:doughnutChart>
        <c:varyColors val="1"/>
        <c:ser>
          <c:idx val="0"/>
          <c:order val="0"/>
          <c:tx>
            <c:strRef>
              <c:f>'cost breakdown desgin'!$B$3</c:f>
              <c:strCache>
                <c:ptCount val="1"/>
                <c:pt idx="0">
                  <c:v>Sum of Total Variable Costs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32-4164-9211-8906AD0E2E54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32-4164-9211-8906AD0E2E54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32-4164-9211-8906AD0E2E54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32-4164-9211-8906AD0E2E54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32-4164-9211-8906AD0E2E54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732-4164-9211-8906AD0E2E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breakdown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'cost breakdown desgin'!$B$4:$B$10</c:f>
              <c:numCache>
                <c:formatCode>#,##0</c:formatCode>
                <c:ptCount val="6"/>
                <c:pt idx="0">
                  <c:v>6156000</c:v>
                </c:pt>
                <c:pt idx="1">
                  <c:v>6488510.4000000004</c:v>
                </c:pt>
                <c:pt idx="2">
                  <c:v>7305144.1833600001</c:v>
                </c:pt>
                <c:pt idx="3">
                  <c:v>8059345.0550490245</c:v>
                </c:pt>
                <c:pt idx="4">
                  <c:v>8892050.1144259367</c:v>
                </c:pt>
                <c:pt idx="5">
                  <c:v>9811495.270267006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732-4164-9211-8906AD0E2E54}"/>
            </c:ext>
          </c:extLst>
        </c:ser>
        <c:ser>
          <c:idx val="1"/>
          <c:order val="1"/>
          <c:tx>
            <c:strRef>
              <c:f>'cost breakdown desgin'!$C$3</c:f>
              <c:strCache>
                <c:ptCount val="1"/>
                <c:pt idx="0">
                  <c:v>Sum of Total Fixed Costs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3732-4164-9211-8906AD0E2E54}"/>
              </c:ext>
            </c:extLst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3732-4164-9211-8906AD0E2E54}"/>
              </c:ext>
            </c:extLst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3732-4164-9211-8906AD0E2E54}"/>
              </c:ext>
            </c:extLst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3732-4164-9211-8906AD0E2E54}"/>
              </c:ext>
            </c:extLst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3732-4164-9211-8906AD0E2E54}"/>
              </c:ext>
            </c:extLst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3732-4164-9211-8906AD0E2E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'cost breakdown desgin'!$A$4:$A$10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'cost breakdown desgin'!$C$4:$C$10</c:f>
              <c:numCache>
                <c:formatCode>#,##0</c:formatCode>
                <c:ptCount val="6"/>
                <c:pt idx="0">
                  <c:v>270000</c:v>
                </c:pt>
                <c:pt idx="1">
                  <c:v>287300</c:v>
                </c:pt>
                <c:pt idx="2">
                  <c:v>306787</c:v>
                </c:pt>
                <c:pt idx="3">
                  <c:v>325927.88</c:v>
                </c:pt>
                <c:pt idx="4">
                  <c:v>343978.37320000003</c:v>
                </c:pt>
                <c:pt idx="5">
                  <c:v>363265.40418800013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3732-4164-9211-8906AD0E2E5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285751</xdr:colOff>
      <xdr:row>1</xdr:row>
      <xdr:rowOff>76198</xdr:rowOff>
    </xdr:from>
    <xdr:to>
      <xdr:col>13</xdr:col>
      <xdr:colOff>9525</xdr:colOff>
      <xdr:row>19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EEC5C2-72BE-9C68-06A7-6E58ED05C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28575</xdr:rowOff>
    </xdr:from>
    <xdr:to>
      <xdr:col>12</xdr:col>
      <xdr:colOff>247650</xdr:colOff>
      <xdr:row>19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BF464B-A71C-73B6-4A7D-EDCC72308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0.21951</cdr:x>
      <cdr:y>0.89203</cdr:y>
    </cdr:from>
    <cdr:to>
      <cdr:x>0.46904</cdr:x>
      <cdr:y>0.95116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5E9118-24A2-BEDD-9C8B-2538E72CF1B4}"/>
            </a:ext>
          </a:extLst>
        </cdr:cNvPr>
        <cdr:cNvSpPr txBox="1"/>
      </cdr:nvSpPr>
      <cdr:spPr>
        <a:xfrm xmlns:a="http://schemas.openxmlformats.org/drawingml/2006/main">
          <a:off x="1114425" y="3305175"/>
          <a:ext cx="126682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0.15572</cdr:x>
      <cdr:y>0.87661</cdr:y>
    </cdr:from>
    <cdr:to>
      <cdr:x>0.30394</cdr:x>
      <cdr:y>0.96915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BA9261-49DA-07F4-810B-17BDDE1DA06C}"/>
            </a:ext>
          </a:extLst>
        </cdr:cNvPr>
        <cdr:cNvSpPr txBox="1"/>
      </cdr:nvSpPr>
      <cdr:spPr>
        <a:xfrm xmlns:a="http://schemas.openxmlformats.org/drawingml/2006/main">
          <a:off x="790575" y="3248025"/>
          <a:ext cx="7524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>
              <a:solidFill>
                <a:srgbClr val="2F5597"/>
              </a:solidFill>
            </a:rPr>
            <a:t>•</a:t>
          </a:r>
          <a:r>
            <a:rPr lang="en-US" sz="1400" b="1" kern="1200">
              <a:solidFill>
                <a:schemeClr val="tx1">
                  <a:lumMod val="75000"/>
                  <a:lumOff val="25000"/>
                </a:schemeClr>
              </a:solidFill>
            </a:rPr>
            <a:t>COGS</a:t>
          </a:r>
          <a:r>
            <a:rPr lang="en-US" sz="1100" b="1" kern="1200"/>
            <a:t> </a:t>
          </a:r>
        </a:p>
      </cdr:txBody>
    </cdr:sp>
  </cdr:relSizeAnchor>
  <cdr:relSizeAnchor xmlns:cdr="http://schemas.openxmlformats.org/drawingml/2006/chartDrawing">
    <cdr:from>
      <cdr:x>0.66792</cdr:x>
      <cdr:y>0.86375</cdr:y>
    </cdr:from>
    <cdr:to>
      <cdr:x>0.93058</cdr:x>
      <cdr:y>0.99229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1524014-CEF4-143E-1C86-23AC14AB837D}"/>
            </a:ext>
          </a:extLst>
        </cdr:cNvPr>
        <cdr:cNvSpPr txBox="1"/>
      </cdr:nvSpPr>
      <cdr:spPr>
        <a:xfrm xmlns:a="http://schemas.openxmlformats.org/drawingml/2006/main">
          <a:off x="3390900" y="3200401"/>
          <a:ext cx="1333499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0" kern="1200">
              <a:solidFill>
                <a:schemeClr val="accent4">
                  <a:lumMod val="75000"/>
                </a:schemeClr>
              </a:solidFill>
            </a:rPr>
            <a:t>•</a:t>
          </a:r>
          <a:r>
            <a:rPr lang="en-US" sz="1400" b="1" kern="1200">
              <a:solidFill>
                <a:schemeClr val="tx1">
                  <a:lumMod val="75000"/>
                  <a:lumOff val="25000"/>
                </a:schemeClr>
              </a:solidFill>
            </a:rPr>
            <a:t>Operating</a:t>
          </a:r>
          <a:r>
            <a:rPr lang="en-US" sz="1400" b="1" kern="1200" baseline="0">
              <a:solidFill>
                <a:schemeClr val="tx1">
                  <a:lumMod val="75000"/>
                  <a:lumOff val="25000"/>
                </a:schemeClr>
              </a:solidFill>
            </a:rPr>
            <a:t> exp </a:t>
          </a:r>
          <a:endParaRPr lang="en-US" sz="1400" b="1" kern="1200">
            <a:solidFill>
              <a:schemeClr val="tx1">
                <a:lumMod val="75000"/>
                <a:lumOff val="25000"/>
              </a:schemeClr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941294</xdr:colOff>
      <xdr:row>1</xdr:row>
      <xdr:rowOff>44823</xdr:rowOff>
    </xdr:from>
    <xdr:to>
      <xdr:col>14</xdr:col>
      <xdr:colOff>123265</xdr:colOff>
      <xdr:row>22</xdr:row>
      <xdr:rowOff>67235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D2D592-8B0E-3A68-6D08-958B92EB6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161925</xdr:rowOff>
    </xdr:from>
    <xdr:to>
      <xdr:col>14</xdr:col>
      <xdr:colOff>247650</xdr:colOff>
      <xdr:row>10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BC6258D-C8DE-3128-E234-F8D41B87CB31}"/>
            </a:ext>
          </a:extLst>
        </xdr:cNvPr>
        <xdr:cNvSpPr/>
      </xdr:nvSpPr>
      <xdr:spPr>
        <a:xfrm>
          <a:off x="2009775" y="1304925"/>
          <a:ext cx="6772275" cy="11334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561976</xdr:colOff>
      <xdr:row>2</xdr:row>
      <xdr:rowOff>19049</xdr:rowOff>
    </xdr:from>
    <xdr:to>
      <xdr:col>16</xdr:col>
      <xdr:colOff>371475</xdr:colOff>
      <xdr:row>3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64D42F-4AC5-1D59-CE9A-424FC46EA3D9}"/>
            </a:ext>
          </a:extLst>
        </xdr:cNvPr>
        <xdr:cNvSpPr/>
      </xdr:nvSpPr>
      <xdr:spPr>
        <a:xfrm>
          <a:off x="3000376" y="400049"/>
          <a:ext cx="7124699" cy="723901"/>
        </a:xfrm>
        <a:prstGeom prst="rect">
          <a:avLst/>
        </a:prstGeom>
        <a:solidFill>
          <a:srgbClr val="F2F2F2"/>
        </a:solidFill>
        <a:ln>
          <a:solidFill>
            <a:schemeClr val="bg1">
              <a:lumMod val="85000"/>
              <a:alpha val="49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800"/>
            <a:t>                                </a:t>
          </a:r>
          <a:r>
            <a:rPr lang="en-US" sz="2800" b="1">
              <a:solidFill>
                <a:sysClr val="windowText" lastClr="000000"/>
              </a:solidFill>
              <a:latin typeface="+mn-lt"/>
            </a:rPr>
            <a:t>GROWTH METRICS  </a:t>
          </a:r>
          <a:r>
            <a:rPr lang="en-US" sz="1100">
              <a:solidFill>
                <a:sysClr val="windowText" lastClr="000000"/>
              </a:solidFill>
              <a:latin typeface="+mn-lt"/>
            </a:rPr>
            <a:t>Financial</a:t>
          </a:r>
          <a:r>
            <a:rPr lang="en-US" sz="1100" baseline="0">
              <a:solidFill>
                <a:sysClr val="windowText" lastClr="000000"/>
              </a:solidFill>
              <a:latin typeface="+mn-lt"/>
            </a:rPr>
            <a:t> </a:t>
          </a:r>
          <a:r>
            <a:rPr lang="en-US" sz="1100">
              <a:solidFill>
                <a:sysClr val="windowText" lastClr="000000"/>
              </a:solidFill>
              <a:latin typeface="+mn-lt"/>
            </a:rPr>
            <a:t>Dashboard  </a:t>
          </a:r>
        </a:p>
      </xdr:txBody>
    </xdr:sp>
    <xdr:clientData/>
  </xdr:twoCellAnchor>
  <xdr:twoCellAnchor editAs="oneCell">
    <xdr:from>
      <xdr:col>4</xdr:col>
      <xdr:colOff>419100</xdr:colOff>
      <xdr:row>0</xdr:row>
      <xdr:rowOff>31378</xdr:rowOff>
    </xdr:from>
    <xdr:to>
      <xdr:col>9</xdr:col>
      <xdr:colOff>167357</xdr:colOff>
      <xdr:row>6</xdr:row>
      <xdr:rowOff>85726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9E1E2FC-90E6-F882-5ACC-49D60336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31378"/>
          <a:ext cx="2796257" cy="1387848"/>
        </a:xfrm>
        <a:prstGeom prst="rect">
          <a:avLst/>
        </a:prstGeom>
      </xdr:spPr>
    </xdr:pic>
    <xdr:clientData/>
  </xdr:twoCellAnchor>
  <xdr:twoCellAnchor>
    <xdr:from>
      <xdr:col>5</xdr:col>
      <xdr:colOff>257175</xdr:colOff>
      <xdr:row>6</xdr:row>
      <xdr:rowOff>0</xdr:rowOff>
    </xdr:from>
    <xdr:to>
      <xdr:col>7</xdr:col>
      <xdr:colOff>85725</xdr:colOff>
      <xdr:row>8</xdr:row>
      <xdr:rowOff>142875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E86C4CDF-ACA9-CEEB-7433-653B519ACA4A}"/>
            </a:ext>
          </a:extLst>
        </xdr:cNvPr>
        <xdr:cNvSpPr/>
      </xdr:nvSpPr>
      <xdr:spPr>
        <a:xfrm>
          <a:off x="3305175" y="1524000"/>
          <a:ext cx="1047750" cy="523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295275</xdr:colOff>
      <xdr:row>5</xdr:row>
      <xdr:rowOff>133350</xdr:rowOff>
    </xdr:from>
    <xdr:to>
      <xdr:col>15</xdr:col>
      <xdr:colOff>200025</xdr:colOff>
      <xdr:row>10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E09E44C-7A02-0851-FE54-E240C088BEC3}"/>
            </a:ext>
          </a:extLst>
        </xdr:cNvPr>
        <xdr:cNvSpPr/>
      </xdr:nvSpPr>
      <xdr:spPr>
        <a:xfrm>
          <a:off x="3343275" y="1276350"/>
          <a:ext cx="6000750" cy="885825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     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     </a:t>
          </a:r>
          <a:r>
            <a:rPr lang="en-US" sz="1100">
              <a:solidFill>
                <a:schemeClr val="tx1"/>
              </a:solidFill>
            </a:rPr>
            <a:t>   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 </a:t>
          </a:r>
          <a:r>
            <a:rPr lang="en-US" sz="1100" b="1">
              <a:solidFill>
                <a:srgbClr val="1F4E79"/>
              </a:solidFill>
            </a:rPr>
            <a:t>Revenue</a:t>
          </a:r>
          <a:r>
            <a:rPr lang="en-US" sz="1100">
              <a:solidFill>
                <a:srgbClr val="1F4E79"/>
              </a:solidFill>
            </a:rPr>
            <a:t> </a:t>
          </a:r>
          <a:r>
            <a:rPr lang="en-US" sz="1100"/>
            <a:t>               </a:t>
          </a:r>
          <a:r>
            <a:rPr lang="en-US" sz="1100" baseline="0"/>
            <a:t>        </a:t>
          </a:r>
          <a:r>
            <a:rPr lang="en-US" sz="1100" b="1">
              <a:solidFill>
                <a:srgbClr val="00695C"/>
              </a:solidFill>
              <a:latin typeface="+mn-lt"/>
              <a:ea typeface="+mn-ea"/>
              <a:cs typeface="+mn-cs"/>
            </a:rPr>
            <a:t>Gross profit                                   </a:t>
          </a:r>
          <a:r>
            <a:rPr lang="en-US" sz="1100" b="1">
              <a:solidFill>
                <a:srgbClr val="2E7D32"/>
              </a:solidFill>
              <a:latin typeface="+mn-lt"/>
              <a:ea typeface="+mn-ea"/>
              <a:cs typeface="+mn-cs"/>
            </a:rPr>
            <a:t>Net</a:t>
          </a:r>
          <a:r>
            <a:rPr lang="en-US" sz="1100" b="1" baseline="0">
              <a:solidFill>
                <a:srgbClr val="2E7D32"/>
              </a:solidFill>
              <a:latin typeface="+mn-lt"/>
              <a:ea typeface="+mn-ea"/>
              <a:cs typeface="+mn-cs"/>
            </a:rPr>
            <a:t> Profit                                                </a:t>
          </a:r>
          <a:r>
            <a:rPr lang="en-US" sz="1100" b="1" baseline="0">
              <a:solidFill>
                <a:srgbClr val="EF6C00"/>
              </a:solidFill>
              <a:latin typeface="+mn-lt"/>
              <a:ea typeface="+mn-ea"/>
              <a:cs typeface="+mn-cs"/>
            </a:rPr>
            <a:t>Net Cash </a:t>
          </a:r>
          <a:r>
            <a:rPr lang="en-US" sz="1100" b="1">
              <a:solidFill>
                <a:srgbClr val="EF6C00"/>
              </a:solidFill>
              <a:latin typeface="+mn-lt"/>
              <a:ea typeface="+mn-ea"/>
              <a:cs typeface="+mn-cs"/>
            </a:rPr>
            <a:t>       </a:t>
          </a:r>
        </a:p>
        <a:p>
          <a:pPr algn="l"/>
          <a:r>
            <a:rPr lang="en-US" sz="1100"/>
            <a:t> </a:t>
          </a:r>
        </a:p>
      </xdr:txBody>
    </xdr:sp>
    <xdr:clientData/>
  </xdr:twoCellAnchor>
  <xdr:twoCellAnchor>
    <xdr:from>
      <xdr:col>5</xdr:col>
      <xdr:colOff>600075</xdr:colOff>
      <xdr:row>8</xdr:row>
      <xdr:rowOff>104774</xdr:rowOff>
    </xdr:from>
    <xdr:to>
      <xdr:col>7</xdr:col>
      <xdr:colOff>257175</xdr:colOff>
      <xdr:row>9</xdr:row>
      <xdr:rowOff>190499</xdr:rowOff>
    </xdr:to>
    <xdr:sp macro="" textlink="'P&amp;L (Profit &amp; Loss)'!B2">
      <xdr:nvSpPr>
        <xdr:cNvPr id="11" name="TextBox 10">
          <a:extLst>
            <a:ext uri="{FF2B5EF4-FFF2-40B4-BE49-F238E27FC236}">
              <a16:creationId xmlns:a16="http://schemas.microsoft.com/office/drawing/2014/main" id="{F516DE60-5296-C160-A6D3-F7E0DB21D4AE}"/>
            </a:ext>
          </a:extLst>
        </xdr:cNvPr>
        <xdr:cNvSpPr txBox="1"/>
      </xdr:nvSpPr>
      <xdr:spPr>
        <a:xfrm>
          <a:off x="3648075" y="1819274"/>
          <a:ext cx="8763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7AB6BFD-7282-403F-8089-3CA5525BFAF6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13680000</a:t>
          </a:fld>
          <a:endParaRPr lang="en-US" sz="1100" b="0"/>
        </a:p>
      </xdr:txBody>
    </xdr:sp>
    <xdr:clientData/>
  </xdr:twoCellAnchor>
  <xdr:twoCellAnchor>
    <xdr:from>
      <xdr:col>7</xdr:col>
      <xdr:colOff>542925</xdr:colOff>
      <xdr:row>8</xdr:row>
      <xdr:rowOff>104775</xdr:rowOff>
    </xdr:from>
    <xdr:to>
      <xdr:col>9</xdr:col>
      <xdr:colOff>152400</xdr:colOff>
      <xdr:row>9</xdr:row>
      <xdr:rowOff>133350</xdr:rowOff>
    </xdr:to>
    <xdr:sp macro="" textlink="Dashboard!A5">
      <xdr:nvSpPr>
        <xdr:cNvPr id="12" name="TextBox 11">
          <a:extLst>
            <a:ext uri="{FF2B5EF4-FFF2-40B4-BE49-F238E27FC236}">
              <a16:creationId xmlns:a16="http://schemas.microsoft.com/office/drawing/2014/main" id="{F565960A-12FB-0B9E-494A-14E8F0E821C5}"/>
            </a:ext>
          </a:extLst>
        </xdr:cNvPr>
        <xdr:cNvSpPr txBox="1"/>
      </xdr:nvSpPr>
      <xdr:spPr>
        <a:xfrm>
          <a:off x="4810125" y="1819275"/>
          <a:ext cx="8286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419CCD-E28F-4EC6-83CE-092AC8E03308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7,524,000</a:t>
          </a:fld>
          <a:endParaRPr lang="en-US" sz="1100"/>
        </a:p>
      </xdr:txBody>
    </xdr:sp>
    <xdr:clientData/>
  </xdr:twoCellAnchor>
  <xdr:twoCellAnchor>
    <xdr:from>
      <xdr:col>10</xdr:col>
      <xdr:colOff>266700</xdr:colOff>
      <xdr:row>8</xdr:row>
      <xdr:rowOff>85725</xdr:rowOff>
    </xdr:from>
    <xdr:to>
      <xdr:col>11</xdr:col>
      <xdr:colOff>428625</xdr:colOff>
      <xdr:row>9</xdr:row>
      <xdr:rowOff>104775</xdr:rowOff>
    </xdr:to>
    <xdr:sp macro="" textlink="'P&amp;L (Profit &amp; Loss)'!K2">
      <xdr:nvSpPr>
        <xdr:cNvPr id="14" name="TextBox 13">
          <a:extLst>
            <a:ext uri="{FF2B5EF4-FFF2-40B4-BE49-F238E27FC236}">
              <a16:creationId xmlns:a16="http://schemas.microsoft.com/office/drawing/2014/main" id="{73FCD1E7-79F9-ADE8-1AC1-BBF89FA26D53}"/>
            </a:ext>
          </a:extLst>
        </xdr:cNvPr>
        <xdr:cNvSpPr txBox="1"/>
      </xdr:nvSpPr>
      <xdr:spPr>
        <a:xfrm>
          <a:off x="6362700" y="1800225"/>
          <a:ext cx="77152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FB995EA-E4B2-4571-A990-8E21DDDE0D79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5,316,750</a:t>
          </a:fld>
          <a:endParaRPr lang="en-US" sz="1100"/>
        </a:p>
      </xdr:txBody>
    </xdr:sp>
    <xdr:clientData/>
  </xdr:twoCellAnchor>
  <xdr:twoCellAnchor>
    <xdr:from>
      <xdr:col>13</xdr:col>
      <xdr:colOff>200025</xdr:colOff>
      <xdr:row>8</xdr:row>
      <xdr:rowOff>76200</xdr:rowOff>
    </xdr:from>
    <xdr:to>
      <xdr:col>14</xdr:col>
      <xdr:colOff>400050</xdr:colOff>
      <xdr:row>9</xdr:row>
      <xdr:rowOff>133350</xdr:rowOff>
    </xdr:to>
    <xdr:sp macro="" textlink="'Cash Flow'!B21">
      <xdr:nvSpPr>
        <xdr:cNvPr id="15" name="TextBox 14">
          <a:extLst>
            <a:ext uri="{FF2B5EF4-FFF2-40B4-BE49-F238E27FC236}">
              <a16:creationId xmlns:a16="http://schemas.microsoft.com/office/drawing/2014/main" id="{80C0132C-7C2E-8185-9F71-A2235D4596D6}"/>
            </a:ext>
          </a:extLst>
        </xdr:cNvPr>
        <xdr:cNvSpPr txBox="1"/>
      </xdr:nvSpPr>
      <xdr:spPr>
        <a:xfrm>
          <a:off x="8124825" y="1790700"/>
          <a:ext cx="8096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3C3EA0-F078-4CB6-9980-4E95B0339EC3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/>
            <a:t>4,741,695</a:t>
          </a:fld>
          <a:endParaRPr lang="en-US" sz="1100"/>
        </a:p>
      </xdr:txBody>
    </xdr:sp>
    <xdr:clientData/>
  </xdr:twoCellAnchor>
  <xdr:twoCellAnchor>
    <xdr:from>
      <xdr:col>4</xdr:col>
      <xdr:colOff>133350</xdr:colOff>
      <xdr:row>12</xdr:row>
      <xdr:rowOff>0</xdr:rowOff>
    </xdr:from>
    <xdr:to>
      <xdr:col>9</xdr:col>
      <xdr:colOff>533400</xdr:colOff>
      <xdr:row>28</xdr:row>
      <xdr:rowOff>180976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0EC79-16F2-4662-BE2F-CC84A5E94E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342902</xdr:colOff>
      <xdr:row>11</xdr:row>
      <xdr:rowOff>171449</xdr:rowOff>
    </xdr:from>
    <xdr:to>
      <xdr:col>18</xdr:col>
      <xdr:colOff>381000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9C2433-F971-4E33-A6AF-C962FEBE2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0.21951</cdr:x>
      <cdr:y>0.89203</cdr:y>
    </cdr:from>
    <cdr:to>
      <cdr:x>0.46904</cdr:x>
      <cdr:y>0.95116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D5E9118-24A2-BEDD-9C8B-2538E72CF1B4}"/>
            </a:ext>
          </a:extLst>
        </cdr:cNvPr>
        <cdr:cNvSpPr txBox="1"/>
      </cdr:nvSpPr>
      <cdr:spPr>
        <a:xfrm xmlns:a="http://schemas.openxmlformats.org/drawingml/2006/main">
          <a:off x="1114425" y="3305175"/>
          <a:ext cx="1266825" cy="2190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0.15572</cdr:x>
      <cdr:y>0.87661</cdr:y>
    </cdr:from>
    <cdr:to>
      <cdr:x>0.30394</cdr:x>
      <cdr:y>0.96915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2FBA9261-49DA-07F4-810B-17BDDE1DA06C}"/>
            </a:ext>
          </a:extLst>
        </cdr:cNvPr>
        <cdr:cNvSpPr txBox="1"/>
      </cdr:nvSpPr>
      <cdr:spPr>
        <a:xfrm xmlns:a="http://schemas.openxmlformats.org/drawingml/2006/main">
          <a:off x="790575" y="3248025"/>
          <a:ext cx="7524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kern="1200">
              <a:solidFill>
                <a:srgbClr val="2F5597"/>
              </a:solidFill>
            </a:rPr>
            <a:t>•</a:t>
          </a:r>
          <a:r>
            <a:rPr lang="en-US" sz="1400" b="1" kern="1200">
              <a:solidFill>
                <a:schemeClr val="tx1">
                  <a:lumMod val="75000"/>
                  <a:lumOff val="25000"/>
                </a:schemeClr>
              </a:solidFill>
            </a:rPr>
            <a:t>COGS</a:t>
          </a:r>
          <a:r>
            <a:rPr lang="en-US" sz="1100" b="1" kern="1200"/>
            <a:t> </a:t>
          </a:r>
        </a:p>
      </cdr:txBody>
    </cdr:sp>
  </cdr:relSizeAnchor>
  <cdr:relSizeAnchor xmlns:cdr="http://schemas.openxmlformats.org/drawingml/2006/chartDrawing">
    <cdr:from>
      <cdr:x>0.66792</cdr:x>
      <cdr:y>0.86375</cdr:y>
    </cdr:from>
    <cdr:to>
      <cdr:x>0.93058</cdr:x>
      <cdr:y>0.99229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31524014-CEF4-143E-1C86-23AC14AB837D}"/>
            </a:ext>
          </a:extLst>
        </cdr:cNvPr>
        <cdr:cNvSpPr txBox="1"/>
      </cdr:nvSpPr>
      <cdr:spPr>
        <a:xfrm xmlns:a="http://schemas.openxmlformats.org/drawingml/2006/main">
          <a:off x="3390900" y="3200401"/>
          <a:ext cx="1333499" cy="4762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800" b="0" kern="1200">
              <a:solidFill>
                <a:schemeClr val="accent4">
                  <a:lumMod val="75000"/>
                </a:schemeClr>
              </a:solidFill>
            </a:rPr>
            <a:t>•</a:t>
          </a:r>
          <a:r>
            <a:rPr lang="en-US" sz="1400" b="1" kern="1200">
              <a:solidFill>
                <a:schemeClr val="tx1">
                  <a:lumMod val="75000"/>
                  <a:lumOff val="25000"/>
                </a:schemeClr>
              </a:solidFill>
            </a:rPr>
            <a:t>Operating</a:t>
          </a:r>
          <a:r>
            <a:rPr lang="en-US" sz="1400" b="1" kern="1200" baseline="0">
              <a:solidFill>
                <a:schemeClr val="tx1">
                  <a:lumMod val="75000"/>
                  <a:lumOff val="25000"/>
                </a:schemeClr>
              </a:solidFill>
            </a:rPr>
            <a:t> exp </a:t>
          </a:r>
          <a:endParaRPr lang="en-US" sz="1400" b="1" kern="1200">
            <a:solidFill>
              <a:schemeClr val="tx1">
                <a:lumMod val="75000"/>
                <a:lumOff val="25000"/>
              </a:schemeClr>
            </a:solidFill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6.516937499997" createdVersion="8" refreshedVersion="8" minRefreshableVersion="3" recordCount="6" xr:uid="{758212B7-7D40-41D2-9356-A4588F8F7A43}">
  <cacheSource type="worksheet">
    <worksheetSource name="tblPL"/>
  </cacheSource>
  <cacheFields count="11">
    <cacheField name="Year" numFmtId="0">
      <sharedItems containsSemiMixedTypes="0" containsString="0" containsNumber="1" containsInteger="1" minValue="2025" maxValue="2030" count="6">
        <n v="2025"/>
        <n v="2026"/>
        <n v="2027"/>
        <n v="2028"/>
        <n v="2029"/>
        <n v="2030"/>
      </sharedItems>
    </cacheField>
    <cacheField name="Total Revenue" numFmtId="0">
      <sharedItems containsSemiMixedTypes="0" containsString="0" containsNumber="1" minValue="13680000" maxValue="21803322.822815571" count="6">
        <n v="13680000"/>
        <n v="14418912"/>
        <n v="16233653.740800001"/>
        <n v="17909655.677886724"/>
        <n v="19760111.365390971"/>
        <n v="21803322.822815571"/>
      </sharedItems>
    </cacheField>
    <cacheField name="Total Variable Costs" numFmtId="3">
      <sharedItems containsSemiMixedTypes="0" containsString="0" containsNumber="1" minValue="6156000" maxValue="9811495.270267006" count="6">
        <n v="6156000"/>
        <n v="6488510.4000000004"/>
        <n v="7305144.1833600001"/>
        <n v="8059345.0550490245"/>
        <n v="8892050.1144259367"/>
        <n v="9811495.270267006"/>
      </sharedItems>
    </cacheField>
    <cacheField name="Total Fixed Costs" numFmtId="3">
      <sharedItems containsSemiMixedTypes="0" containsString="0" containsNumber="1" minValue="270000" maxValue="363265.40418800013"/>
    </cacheField>
    <cacheField name="EBITDA (Revenue – (Fixed + Variable))" numFmtId="3">
      <sharedItems containsSemiMixedTypes="0" containsString="0" containsNumber="1" minValue="7254000" maxValue="11628562.148360565"/>
    </cacheField>
    <cacheField name="Depreciation" numFmtId="0">
      <sharedItems containsSemiMixedTypes="0" containsString="0" containsNumber="1" containsInteger="1" minValue="0" maxValue="115000"/>
    </cacheField>
    <cacheField name="EBIT" numFmtId="3">
      <sharedItems containsSemiMixedTypes="0" containsString="0" containsNumber="1" minValue="7139000" maxValue="11628562.148360565"/>
    </cacheField>
    <cacheField name="Interest" numFmtId="3">
      <sharedItems containsSemiMixedTypes="0" containsString="0" containsNumber="1" containsInteger="1" minValue="0" maxValue="50000"/>
    </cacheField>
    <cacheField name="Profit Before Tax" numFmtId="3">
      <sharedItems containsSemiMixedTypes="0" containsString="0" containsNumber="1" minValue="7089000" maxValue="11628562.148360565"/>
    </cacheField>
    <cacheField name="Tax" numFmtId="0">
      <sharedItems containsSemiMixedTypes="0" containsString="0" containsNumber="1" minValue="1772250" maxValue="2907140.5370901413"/>
    </cacheField>
    <cacheField name="Net Profit" numFmtId="3">
      <sharedItems containsSemiMixedTypes="0" containsString="0" containsNumber="1" minValue="5316750" maxValue="8721421.611270424"/>
    </cacheField>
  </cacheFields>
  <extLst>
    <ext xmlns:x14="http://schemas.microsoft.com/office/spreadsheetml/2009/9/main" uri="{725AE2AE-9491-48be-B2B4-4EB974FC3084}">
      <x14:pivotCacheDefinition pivotCacheId="1397720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270000"/>
    <n v="7254000"/>
    <n v="115000"/>
    <n v="7139000"/>
    <n v="50000"/>
    <n v="7089000"/>
    <n v="1772250"/>
    <n v="5316750"/>
  </r>
  <r>
    <x v="1"/>
    <x v="1"/>
    <x v="1"/>
    <n v="287300"/>
    <n v="7643101.5999999996"/>
    <n v="115000"/>
    <n v="7528101.5999999996"/>
    <n v="50000"/>
    <n v="7478101.5999999996"/>
    <n v="1869525.4"/>
    <n v="5608576.1999999993"/>
  </r>
  <r>
    <x v="2"/>
    <x v="2"/>
    <x v="2"/>
    <n v="306787"/>
    <n v="8621722.5574400015"/>
    <n v="115000"/>
    <n v="8506722.5574400015"/>
    <n v="50000"/>
    <n v="8456722.5574400015"/>
    <n v="2114180.6393600004"/>
    <n v="6342541.9180800011"/>
  </r>
  <r>
    <x v="3"/>
    <x v="3"/>
    <x v="3"/>
    <n v="325927.88"/>
    <n v="9524382.742837701"/>
    <n v="115000"/>
    <n v="9409382.742837701"/>
    <n v="50000"/>
    <n v="9359382.742837701"/>
    <n v="2339845.6857094252"/>
    <n v="7019537.0571282757"/>
  </r>
  <r>
    <x v="4"/>
    <x v="4"/>
    <x v="4"/>
    <n v="343978.37320000003"/>
    <n v="10524082.877765035"/>
    <n v="115000"/>
    <n v="10409082.877765035"/>
    <n v="50000"/>
    <n v="10359082.877765035"/>
    <n v="2589770.7194412588"/>
    <n v="7769312.158323776"/>
  </r>
  <r>
    <x v="5"/>
    <x v="5"/>
    <x v="5"/>
    <n v="363265.40418800013"/>
    <n v="11628562.148360565"/>
    <n v="0"/>
    <n v="11628562.148360565"/>
    <n v="0"/>
    <n v="11628562.148360565"/>
    <n v="2907140.5370901413"/>
    <n v="8721421.6112704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1264C6-0FC9-4E59-88F1-D9D07D47F56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C10" firstHeaderRow="0" firstDataRow="1" firstDataCol="1"/>
  <pivotFields count="11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>
      <items count="7">
        <item x="0"/>
        <item x="1"/>
        <item x="2"/>
        <item x="3"/>
        <item x="4"/>
        <item x="5"/>
        <item t="default"/>
      </items>
    </pivotField>
    <pivotField numFmtId="3" showAll="0">
      <items count="7">
        <item x="0"/>
        <item x="1"/>
        <item x="2"/>
        <item x="3"/>
        <item x="4"/>
        <item x="5"/>
        <item t="default"/>
      </items>
    </pivotField>
    <pivotField numFmtId="3" showAll="0"/>
    <pivotField numFmtId="3" showAll="0"/>
    <pivotField showAll="0"/>
    <pivotField numFmtId="3" showAll="0"/>
    <pivotField numFmtId="3" showAll="0"/>
    <pivotField numFmtId="3" showAll="0"/>
    <pivotField showAll="0"/>
    <pivotField dataField="1" numFmtId="3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1" baseField="0" baseItem="0"/>
    <dataField name="Sum of Net Profit" fld="10" baseField="0" baseItem="0" numFmtId="3"/>
  </dataFields>
  <chartFormats count="4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9725F-1AB8-4EBA-8A78-C40DB81FDA36}" name="PivotTable2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3:C10" firstHeaderRow="0" firstDataRow="1" firstDataCol="1"/>
  <pivotFields count="11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numFmtId="3" showAll="0"/>
    <pivotField dataField="1" numFmtId="3" showAll="0"/>
    <pivotField numFmtId="3" showAll="0"/>
    <pivotField showAll="0"/>
    <pivotField numFmtId="3" showAll="0"/>
    <pivotField numFmtId="3" showAll="0"/>
    <pivotField numFmtId="3" showAll="0"/>
    <pivotField showAll="0"/>
    <pivotField numFmtId="3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ariable Costs" fld="2" baseField="0" baseItem="0" numFmtId="3"/>
    <dataField name="Sum of Total Fixed Costs" fld="3" baseField="0" baseItem="0" numFmtId="3"/>
  </dataFields>
  <chartFormats count="4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8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8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8" format="1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28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28" format="13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1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1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1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1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1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1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1" format="25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1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1" format="27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2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36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2" format="37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2" format="38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2" format="39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2" format="4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2" format="4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FB3A9-912F-4727-9983-33F6AA636916}" name="tblRevenue" displayName="tblRevenue" ref="A1:N7" totalsRowShown="0" headerRowDxfId="52">
  <autoFilter ref="A1:N7" xr:uid="{DDFFB3A9-912F-4727-9983-33F6AA636916}"/>
  <tableColumns count="14">
    <tableColumn id="1" xr3:uid="{5B579069-11D4-4B5D-97BF-12615D7463F0}" name="Year" dataDxfId="51"/>
    <tableColumn id="2" xr3:uid="{EF7C9755-2592-4F75-AA8E-79C519AA9AB3}" name="Product A Units"/>
    <tableColumn id="3" xr3:uid="{F83E4D24-27CD-48B0-99B7-2B1A0C037336}" name="Growth % A" dataDxfId="50">
      <calculatedColumnFormula>Inputs!$D$9</calculatedColumnFormula>
    </tableColumn>
    <tableColumn id="4" xr3:uid="{51BAC46C-38D6-4AF5-83FD-5E8A411FFD2C}" name="Product A Unit Price">
      <calculatedColumnFormula xml:space="preserve"> D1 * (1 + Inputs!$B$5)</calculatedColumnFormula>
    </tableColumn>
    <tableColumn id="5" xr3:uid="{4A48AC02-FB98-438B-8B7E-C2DAF6773F2D}" name="Revenue A" dataDxfId="49">
      <calculatedColumnFormula xml:space="preserve"> B2 * D1</calculatedColumnFormula>
    </tableColumn>
    <tableColumn id="6" xr3:uid="{4240513C-421F-40A8-B14A-1B93858E4F32}" name="Product B Units"/>
    <tableColumn id="7" xr3:uid="{EC0F7399-10AB-46AC-8A08-E6AE42386A36}" name="Growth % B" dataDxfId="48">
      <calculatedColumnFormula>Inputs!$D$10</calculatedColumnFormula>
    </tableColumn>
    <tableColumn id="8" xr3:uid="{090AC94F-22E9-40C3-B2CA-4BB3BDC2A9F1}" name="Product B Unit Price">
      <calculatedColumnFormula>H1*(1+Inputs!$B$5)</calculatedColumnFormula>
    </tableColumn>
    <tableColumn id="9" xr3:uid="{5335AE55-FEA2-4E83-8D2C-5EE7C19AAA08}" name="Revenue B" dataDxfId="47">
      <calculatedColumnFormula>F2*H2</calculatedColumnFormula>
    </tableColumn>
    <tableColumn id="10" xr3:uid="{EA2D67BD-FF35-4DF8-8A59-2BF94C21424A}" name="Service C Units"/>
    <tableColumn id="11" xr3:uid="{111AE49B-DB64-4077-A088-F0B2778AFD2C}" name="Growth % C" dataDxfId="46">
      <calculatedColumnFormula>Inputs!$D$11</calculatedColumnFormula>
    </tableColumn>
    <tableColumn id="12" xr3:uid="{617A11BC-EE8F-4783-9D5B-49A3F2EA939C}" name="Service C Unit Price">
      <calculatedColumnFormula xml:space="preserve"> L1 * (1 + Inputs!$B$5)</calculatedColumnFormula>
    </tableColumn>
    <tableColumn id="13" xr3:uid="{0A83F0C6-D047-472F-AB10-3B2A54CA169A}" name="Revenue C" dataDxfId="45">
      <calculatedColumnFormula>J2 * L2</calculatedColumnFormula>
    </tableColumn>
    <tableColumn id="14" xr3:uid="{0FF34521-7CBB-4AE8-8A42-4433EB306805}" name="Total Revenue" dataDxfId="44">
      <calculatedColumnFormula>E2+I2+M2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03C63-BA51-45A4-8277-73ACBF26693B}" name="tblCosts" displayName="tblCosts" ref="A1:M7" totalsRowShown="0" headerRowDxfId="43" dataDxfId="42">
  <autoFilter ref="A1:M7" xr:uid="{7CC03C63-BA51-45A4-8277-73ACBF26693B}"/>
  <tableColumns count="13">
    <tableColumn id="1" xr3:uid="{94BA4B85-32A1-432F-92BF-2954CBF6F262}" name="Year" dataDxfId="41"/>
    <tableColumn id="2" xr3:uid="{0C38211A-B702-41C7-9E2D-9057D4FDBFA9}" name="Total Revenue" dataDxfId="40">
      <calculatedColumnFormula>'Revenue Forecast'!N2</calculatedColumnFormula>
    </tableColumn>
    <tableColumn id="3" xr3:uid="{155B864B-DD63-4AA4-B3F0-B23A295A6191}" name="Rent" dataDxfId="39">
      <calculatedColumnFormula>C1*(1+Inputs!C15)</calculatedColumnFormula>
    </tableColumn>
    <tableColumn id="4" xr3:uid="{32E26306-54BE-40E9-86A4-9CEAFB302C28}" name="Salaries" dataDxfId="38">
      <calculatedColumnFormula xml:space="preserve"> D1 * (1 + Inputs!$C$17)</calculatedColumnFormula>
    </tableColumn>
    <tableColumn id="5" xr3:uid="{FC69B5B5-99BB-4F28-B0C8-035D848FA5AC}" name="Utilities" dataDxfId="37">
      <calculatedColumnFormula xml:space="preserve"> E1 * (1 + Inputs!$C$18)</calculatedColumnFormula>
    </tableColumn>
    <tableColumn id="6" xr3:uid="{0834E515-1977-4C84-B389-485B7C89694F}" name="Total Fixed Costs" dataDxfId="36">
      <calculatedColumnFormula>C2+D2+E2</calculatedColumnFormula>
    </tableColumn>
    <tableColumn id="7" xr3:uid="{8FD87710-69AD-405B-B25D-C40F5D7767E5}" name="Raw Materials (30%)" dataDxfId="35">
      <calculatedColumnFormula xml:space="preserve"> B2 * Inputs!$B$22</calculatedColumnFormula>
    </tableColumn>
    <tableColumn id="8" xr3:uid="{5443AD46-6A31-4D0E-91A4-F80171461F73}" name="Packaging (5%)" dataDxfId="34">
      <calculatedColumnFormula xml:space="preserve"> B2 * Inputs!$B$23</calculatedColumnFormula>
    </tableColumn>
    <tableColumn id="9" xr3:uid="{52C0484F-E77B-4541-BCCE-B9B8B7CB6179}" name="Delivery (3%)" dataDxfId="33">
      <calculatedColumnFormula xml:space="preserve"> B2 * Inputs!$B$24</calculatedColumnFormula>
    </tableColumn>
    <tableColumn id="10" xr3:uid="{57036E32-4C8F-482A-B083-AAED9CA3399E}" name="Commission (2%)" dataDxfId="32">
      <calculatedColumnFormula xml:space="preserve"> B2 * Inputs!$B$25</calculatedColumnFormula>
    </tableColumn>
    <tableColumn id="11" xr3:uid="{25C94ABC-57C8-4D8F-80F8-604E8C8927A6}" name="Marketing (5%)" dataDxfId="31">
      <calculatedColumnFormula xml:space="preserve"> B2 * Inputs!$B$26</calculatedColumnFormula>
    </tableColumn>
    <tableColumn id="12" xr3:uid="{FD44D36A-589F-494E-8922-E5773A24B5AC}" name="Total Variable Costs" dataDxfId="30">
      <calculatedColumnFormula>G2+H2+I2+J2+K2</calculatedColumnFormula>
    </tableColumn>
    <tableColumn id="13" xr3:uid="{A28859A0-3F56-4EA3-AD99-601C74362200}" name="Total Costs" dataDxfId="29">
      <calculatedColumnFormula xml:space="preserve"> F2 + L2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38B225-6AE9-4DAE-9673-4B3EFAE09FDD}" name="tblPL" displayName="tblPL" ref="A1:K7" totalsRowShown="0" headerRowDxfId="28" dataDxfId="27">
  <autoFilter ref="A1:K7" xr:uid="{2538B225-6AE9-4DAE-9673-4B3EFAE09FDD}"/>
  <tableColumns count="11">
    <tableColumn id="1" xr3:uid="{F3FDA607-EC2C-453B-B293-F64FD50B04E4}" name="Year" dataDxfId="26"/>
    <tableColumn id="2" xr3:uid="{A264647D-F2A3-4905-B512-8DEFE0F34CD4}" name="Total Revenue" dataDxfId="25">
      <calculatedColumnFormula>'Revenue Forecast'!N2</calculatedColumnFormula>
    </tableColumn>
    <tableColumn id="3" xr3:uid="{07DC267E-48AB-4094-A79B-3615A2CCE308}" name="Total Variable Costs" dataDxfId="24">
      <calculatedColumnFormula>'Cost Breakdown'!L2</calculatedColumnFormula>
    </tableColumn>
    <tableColumn id="4" xr3:uid="{B5AB4FD1-39DC-4056-929F-FB0EE86465AF}" name="Total Fixed Costs" dataDxfId="23">
      <calculatedColumnFormula>'Cost Breakdown'!F2</calculatedColumnFormula>
    </tableColumn>
    <tableColumn id="5" xr3:uid="{27CEC8BF-B555-4871-94A4-058B18815942}" name="EBITDA (Revenue – (Fixed + Variable))" dataDxfId="22">
      <calculatedColumnFormula>B2-(C2+D2)</calculatedColumnFormula>
    </tableColumn>
    <tableColumn id="6" xr3:uid="{E8D70E56-9942-4378-816E-E0A49702BE1A}" name="Depreciation" dataDxfId="21"/>
    <tableColumn id="7" xr3:uid="{B6F530F0-F763-476A-BAB3-B1F49C3ACB74}" name="EBIT" dataDxfId="20">
      <calculatedColumnFormula>E2-F2</calculatedColumnFormula>
    </tableColumn>
    <tableColumn id="8" xr3:uid="{79C72568-A950-4C2B-B253-61FDEB32CA6E}" name="Interest" dataDxfId="19"/>
    <tableColumn id="9" xr3:uid="{874CB946-3DE6-4DFC-B916-D76E7812AC04}" name="Profit Before Tax" dataDxfId="18">
      <calculatedColumnFormula>G2-H2</calculatedColumnFormula>
    </tableColumn>
    <tableColumn id="10" xr3:uid="{E6794D02-4FE4-484F-902F-7677458B9CD0}" name="Tax" dataDxfId="17">
      <calculatedColumnFormula xml:space="preserve"> I2 * Inputs!$B$41</calculatedColumnFormula>
    </tableColumn>
    <tableColumn id="11" xr3:uid="{D6F3A450-9EEB-4E81-9BC6-66412B1CD054}" name="Net Profit" dataDxfId="16">
      <calculatedColumnFormula>I2-J2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F19AA8-3258-400F-B51D-8A02622E11A9}" name="tblCash" displayName="tblCash" ref="A2:G21" totalsRowShown="0" headerRowDxfId="15">
  <autoFilter ref="A2:G21" xr:uid="{7FF19AA8-3258-400F-B51D-8A02622E11A9}"/>
  <tableColumns count="7">
    <tableColumn id="1" xr3:uid="{E95E1680-5F60-449E-9823-708F49ACDBA6}" name="Account / Title"/>
    <tableColumn id="2" xr3:uid="{B2D12888-C755-49BF-8828-C1DE360942B9}" name="2025"/>
    <tableColumn id="3" xr3:uid="{4A5F7157-D1CA-4C79-9B50-DBCE1133B9F2}" name="2026" dataDxfId="14"/>
    <tableColumn id="4" xr3:uid="{897F1033-7F61-4B99-8BD5-EB8D85757E45}" name="2027" dataDxfId="13"/>
    <tableColumn id="5" xr3:uid="{C3497684-15D9-4121-9BE0-197587969C6A}" name="2028" dataDxfId="12"/>
    <tableColumn id="6" xr3:uid="{A0AF1E16-A646-43BB-AB53-F2146007A9ED}" name="2029" dataDxfId="11"/>
    <tableColumn id="7" xr3:uid="{EB47F39C-94E8-488F-9E8F-13A2444227FB}" name="2030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9829CD-EBDA-48D8-B295-60E6358CAC4D}" name="tblBreakEven" displayName="tblBreakEven" ref="A1:I7" totalsRowShown="0" headerRowDxfId="9" headerRowBorderDxfId="8" tableBorderDxfId="7">
  <autoFilter ref="A1:I7" xr:uid="{A99829CD-EBDA-48D8-B295-60E6358CAC4D}"/>
  <tableColumns count="9">
    <tableColumn id="1" xr3:uid="{70547259-A508-4F8E-9FF8-C19E6EDE2D4A}" name="Year "/>
    <tableColumn id="2" xr3:uid="{2FC7781F-5326-423F-9994-D498267A9845}" name="Total Revenue ">
      <calculatedColumnFormula>'P&amp;L (Profit &amp; Loss)'!B2</calculatedColumnFormula>
    </tableColumn>
    <tableColumn id="3" xr3:uid="{D22AF9C0-7A9D-447F-90C4-0A81D612E618}" name="Total Variable Cost" dataDxfId="6">
      <calculatedColumnFormula>'P&amp;L (Profit &amp; Loss)'!C2</calculatedColumnFormula>
    </tableColumn>
    <tableColumn id="4" xr3:uid="{ED89AAFF-D392-480E-9848-DB0FA2767699}" name="Contribution per unit" dataDxfId="5">
      <calculatedColumnFormula>E2/ Inputs!$C$12</calculatedColumnFormula>
    </tableColumn>
    <tableColumn id="5" xr3:uid="{DE16B345-20CF-4E7C-82E8-C7F0FE18642A}" name="Total Contribution (CM)" dataDxfId="4">
      <calculatedColumnFormula>B2-C2</calculatedColumnFormula>
    </tableColumn>
    <tableColumn id="6" xr3:uid="{54E333D0-33A1-4638-84BE-7E1B520D053C}" name="Fixed Costs (total)" dataDxfId="3">
      <calculatedColumnFormula>'P&amp;L (Profit &amp; Loss)'!D2</calculatedColumnFormula>
    </tableColumn>
    <tableColumn id="7" xr3:uid="{6F44E458-B2C7-4DAF-87DD-4995E5F2CF90}" name="Break-even Units" dataDxfId="2">
      <calculatedColumnFormula>F2/D2</calculatedColumnFormula>
    </tableColumn>
    <tableColumn id="8" xr3:uid="{9B3DD67B-3C7B-4027-8DBC-C95673115CB7}" name="Break-even Sales Value" dataDxfId="1">
      <calculatedColumnFormula>G2* (B2 / Inputs!$C$12)</calculatedColumnFormula>
    </tableColumn>
    <tableColumn id="9" xr3:uid="{2B91383D-1AFA-4DA4-9F9F-2D111EE47C52}" name="Margin of Safety (%)" dataDxfId="0">
      <calculatedColumnFormula xml:space="preserve"> (Inputs!$C$12 - G2) / Inputs!$C$12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D082-0040-462C-92E7-367F2B339F4E}">
  <dimension ref="A1:D48"/>
  <sheetViews>
    <sheetView zoomScaleNormal="100" workbookViewId="0">
      <selection activeCell="C12" sqref="C12"/>
    </sheetView>
  </sheetViews>
  <sheetFormatPr defaultRowHeight="15" x14ac:dyDescent="0.25"/>
  <cols>
    <col min="1" max="1" width="27.5703125" customWidth="1"/>
    <col min="2" max="2" width="18.42578125" bestFit="1" customWidth="1"/>
    <col min="3" max="3" width="23.28515625" bestFit="1" customWidth="1"/>
    <col min="4" max="4" width="61.7109375" customWidth="1"/>
  </cols>
  <sheetData>
    <row r="1" spans="1:4" x14ac:dyDescent="0.25">
      <c r="A1" s="27" t="s">
        <v>0</v>
      </c>
      <c r="B1" s="27"/>
      <c r="C1" s="27"/>
      <c r="D1" s="27"/>
    </row>
    <row r="2" spans="1:4" x14ac:dyDescent="0.25">
      <c r="A2" s="1" t="s">
        <v>1</v>
      </c>
      <c r="B2" s="1" t="s">
        <v>2</v>
      </c>
      <c r="C2" s="1"/>
      <c r="D2" s="1" t="s">
        <v>3</v>
      </c>
    </row>
    <row r="3" spans="1:4" x14ac:dyDescent="0.25">
      <c r="A3" t="s">
        <v>4</v>
      </c>
      <c r="B3" s="2">
        <v>2025</v>
      </c>
      <c r="D3" s="18" t="s">
        <v>5</v>
      </c>
    </row>
    <row r="4" spans="1:4" x14ac:dyDescent="0.25">
      <c r="A4" t="s">
        <v>6</v>
      </c>
      <c r="B4" s="5" t="s">
        <v>7</v>
      </c>
      <c r="D4" s="18" t="s">
        <v>8</v>
      </c>
    </row>
    <row r="5" spans="1:4" x14ac:dyDescent="0.25">
      <c r="A5" t="s">
        <v>9</v>
      </c>
      <c r="B5" s="5" t="s">
        <v>10</v>
      </c>
      <c r="D5" s="18" t="s">
        <v>11</v>
      </c>
    </row>
    <row r="7" spans="1:4" x14ac:dyDescent="0.25">
      <c r="A7" s="27" t="s">
        <v>12</v>
      </c>
      <c r="B7" s="27"/>
      <c r="C7" s="27"/>
      <c r="D7" s="27"/>
    </row>
    <row r="8" spans="1:4" x14ac:dyDescent="0.25">
      <c r="A8" s="1" t="s">
        <v>13</v>
      </c>
      <c r="B8" s="1" t="s">
        <v>14</v>
      </c>
      <c r="C8" s="1" t="s">
        <v>15</v>
      </c>
      <c r="D8" s="1" t="s">
        <v>16</v>
      </c>
    </row>
    <row r="9" spans="1:4" x14ac:dyDescent="0.25">
      <c r="A9" t="s">
        <v>17</v>
      </c>
      <c r="B9" s="2">
        <v>500</v>
      </c>
      <c r="C9">
        <v>1000</v>
      </c>
      <c r="D9" s="7" t="s">
        <v>18</v>
      </c>
    </row>
    <row r="10" spans="1:4" x14ac:dyDescent="0.25">
      <c r="A10" t="s">
        <v>19</v>
      </c>
      <c r="B10" s="2">
        <v>800</v>
      </c>
      <c r="C10">
        <v>500</v>
      </c>
      <c r="D10" s="8" t="s">
        <v>20</v>
      </c>
    </row>
    <row r="11" spans="1:4" x14ac:dyDescent="0.25">
      <c r="A11" t="s">
        <v>21</v>
      </c>
      <c r="B11" s="2">
        <v>1200</v>
      </c>
      <c r="C11">
        <v>200</v>
      </c>
      <c r="D11" s="8" t="s">
        <v>22</v>
      </c>
    </row>
    <row r="12" spans="1:4" x14ac:dyDescent="0.25">
      <c r="A12" t="s">
        <v>163</v>
      </c>
      <c r="C12">
        <f>(C9+C10+C11)*12</f>
        <v>20400</v>
      </c>
    </row>
    <row r="14" spans="1:4" x14ac:dyDescent="0.25">
      <c r="A14" s="27" t="s">
        <v>23</v>
      </c>
      <c r="B14" s="27"/>
      <c r="C14" s="27"/>
      <c r="D14" s="27"/>
    </row>
    <row r="15" spans="1:4" x14ac:dyDescent="0.25">
      <c r="A15" s="1" t="s">
        <v>24</v>
      </c>
      <c r="B15" s="1" t="s">
        <v>25</v>
      </c>
      <c r="C15" s="1" t="s">
        <v>26</v>
      </c>
      <c r="D15" s="1" t="s">
        <v>3</v>
      </c>
    </row>
    <row r="16" spans="1:4" x14ac:dyDescent="0.25">
      <c r="A16" t="s">
        <v>27</v>
      </c>
      <c r="B16" s="2">
        <v>50000</v>
      </c>
      <c r="C16" t="s">
        <v>18</v>
      </c>
      <c r="D16" s="6" t="s">
        <v>28</v>
      </c>
    </row>
    <row r="17" spans="1:4" x14ac:dyDescent="0.25">
      <c r="A17" t="s">
        <v>29</v>
      </c>
      <c r="B17" s="2">
        <v>200000</v>
      </c>
      <c r="C17" t="s">
        <v>30</v>
      </c>
      <c r="D17" s="6" t="s">
        <v>31</v>
      </c>
    </row>
    <row r="18" spans="1:4" x14ac:dyDescent="0.25">
      <c r="A18" t="s">
        <v>32</v>
      </c>
      <c r="B18" s="2">
        <v>20000</v>
      </c>
      <c r="C18" t="s">
        <v>22</v>
      </c>
      <c r="D18" s="6" t="s">
        <v>33</v>
      </c>
    </row>
    <row r="20" spans="1:4" x14ac:dyDescent="0.25">
      <c r="A20" s="27" t="s">
        <v>34</v>
      </c>
      <c r="B20" s="27"/>
      <c r="C20" s="27"/>
      <c r="D20" s="27"/>
    </row>
    <row r="21" spans="1:4" x14ac:dyDescent="0.25">
      <c r="A21" s="1" t="s">
        <v>24</v>
      </c>
      <c r="B21" s="1" t="s">
        <v>35</v>
      </c>
      <c r="C21" s="1"/>
      <c r="D21" s="1" t="s">
        <v>3</v>
      </c>
    </row>
    <row r="22" spans="1:4" x14ac:dyDescent="0.25">
      <c r="A22" t="s">
        <v>36</v>
      </c>
      <c r="B22" s="4" t="s">
        <v>37</v>
      </c>
      <c r="D22" s="20" t="s">
        <v>38</v>
      </c>
    </row>
    <row r="23" spans="1:4" x14ac:dyDescent="0.25">
      <c r="A23" t="s">
        <v>39</v>
      </c>
      <c r="B23" s="4" t="s">
        <v>18</v>
      </c>
      <c r="D23" s="20" t="s">
        <v>40</v>
      </c>
    </row>
    <row r="24" spans="1:4" x14ac:dyDescent="0.25">
      <c r="A24" t="s">
        <v>41</v>
      </c>
      <c r="B24" s="4" t="s">
        <v>20</v>
      </c>
      <c r="D24" s="20" t="s">
        <v>42</v>
      </c>
    </row>
    <row r="25" spans="1:4" x14ac:dyDescent="0.25">
      <c r="A25" t="s">
        <v>64</v>
      </c>
      <c r="B25" s="3">
        <v>0.02</v>
      </c>
      <c r="D25" s="20" t="s">
        <v>67</v>
      </c>
    </row>
    <row r="26" spans="1:4" x14ac:dyDescent="0.25">
      <c r="A26" t="s">
        <v>66</v>
      </c>
      <c r="B26" s="3">
        <v>0.05</v>
      </c>
      <c r="D26" s="20" t="s">
        <v>65</v>
      </c>
    </row>
    <row r="28" spans="1:4" x14ac:dyDescent="0.25">
      <c r="A28" s="27" t="s">
        <v>43</v>
      </c>
      <c r="B28" s="27"/>
      <c r="C28" s="27"/>
      <c r="D28" s="27"/>
    </row>
    <row r="29" spans="1:4" x14ac:dyDescent="0.25">
      <c r="A29" s="1" t="s">
        <v>44</v>
      </c>
      <c r="B29" s="1" t="s">
        <v>45</v>
      </c>
      <c r="C29" s="1" t="s">
        <v>46</v>
      </c>
      <c r="D29" s="1" t="s">
        <v>47</v>
      </c>
    </row>
    <row r="30" spans="1:4" x14ac:dyDescent="0.25">
      <c r="A30" t="s">
        <v>48</v>
      </c>
      <c r="B30" s="2">
        <v>1000000</v>
      </c>
      <c r="C30" t="s">
        <v>49</v>
      </c>
      <c r="D30" t="s">
        <v>49</v>
      </c>
    </row>
    <row r="31" spans="1:4" x14ac:dyDescent="0.25">
      <c r="A31" t="s">
        <v>50</v>
      </c>
      <c r="B31" s="2">
        <v>500000</v>
      </c>
      <c r="C31" t="s">
        <v>51</v>
      </c>
      <c r="D31">
        <v>5</v>
      </c>
    </row>
    <row r="33" spans="1:4" x14ac:dyDescent="0.25">
      <c r="A33" s="27" t="s">
        <v>97</v>
      </c>
      <c r="B33" s="27"/>
      <c r="C33" s="27"/>
      <c r="D33" s="27"/>
    </row>
    <row r="34" spans="1:4" x14ac:dyDescent="0.25">
      <c r="A34" s="1" t="s">
        <v>44</v>
      </c>
      <c r="B34" s="1" t="s">
        <v>45</v>
      </c>
      <c r="C34" s="1" t="s">
        <v>100</v>
      </c>
      <c r="D34" s="1" t="s">
        <v>3</v>
      </c>
    </row>
    <row r="35" spans="1:4" x14ac:dyDescent="0.25">
      <c r="A35" t="s">
        <v>98</v>
      </c>
      <c r="B35" s="2">
        <v>1000000</v>
      </c>
      <c r="C35">
        <v>5</v>
      </c>
      <c r="D35" s="16" t="s">
        <v>101</v>
      </c>
    </row>
    <row r="36" spans="1:4" x14ac:dyDescent="0.25">
      <c r="A36" t="s">
        <v>99</v>
      </c>
      <c r="B36" s="2">
        <v>150000</v>
      </c>
      <c r="C36">
        <v>5</v>
      </c>
      <c r="D36" s="16" t="s">
        <v>102</v>
      </c>
    </row>
    <row r="37" spans="1:4" x14ac:dyDescent="0.25">
      <c r="A37" t="s">
        <v>103</v>
      </c>
      <c r="B37">
        <f>B35+B36</f>
        <v>1150000</v>
      </c>
      <c r="D37" s="16" t="s">
        <v>104</v>
      </c>
    </row>
    <row r="38" spans="1:4" x14ac:dyDescent="0.25">
      <c r="B38" s="15"/>
    </row>
    <row r="39" spans="1:4" x14ac:dyDescent="0.25">
      <c r="A39" s="27" t="s">
        <v>133</v>
      </c>
      <c r="B39" s="27"/>
      <c r="C39" s="27"/>
      <c r="D39" s="27"/>
    </row>
    <row r="40" spans="1:4" x14ac:dyDescent="0.25">
      <c r="A40" s="1" t="s">
        <v>1</v>
      </c>
      <c r="B40" s="1" t="s">
        <v>52</v>
      </c>
      <c r="C40" s="1"/>
      <c r="D40" s="1" t="s">
        <v>3</v>
      </c>
    </row>
    <row r="41" spans="1:4" x14ac:dyDescent="0.25">
      <c r="A41" t="s">
        <v>53</v>
      </c>
      <c r="B41" s="2" t="s">
        <v>54</v>
      </c>
      <c r="C41" s="16"/>
      <c r="D41" s="19" t="s">
        <v>134</v>
      </c>
    </row>
    <row r="42" spans="1:4" x14ac:dyDescent="0.25">
      <c r="A42" t="s">
        <v>55</v>
      </c>
      <c r="B42" s="2" t="s">
        <v>51</v>
      </c>
      <c r="C42" s="16"/>
      <c r="D42" s="19" t="s">
        <v>135</v>
      </c>
    </row>
    <row r="44" spans="1:4" x14ac:dyDescent="0.25">
      <c r="A44" s="27" t="s">
        <v>56</v>
      </c>
      <c r="B44" s="27"/>
      <c r="C44" s="27"/>
      <c r="D44" s="27"/>
    </row>
    <row r="45" spans="1:4" x14ac:dyDescent="0.25">
      <c r="A45" s="1" t="s">
        <v>1</v>
      </c>
      <c r="B45" s="1" t="s">
        <v>57</v>
      </c>
      <c r="C45" s="1"/>
      <c r="D45" s="1" t="s">
        <v>3</v>
      </c>
    </row>
    <row r="46" spans="1:4" x14ac:dyDescent="0.25">
      <c r="A46" t="s">
        <v>58</v>
      </c>
      <c r="B46" s="2">
        <v>30</v>
      </c>
      <c r="D46" s="16" t="s">
        <v>59</v>
      </c>
    </row>
    <row r="47" spans="1:4" x14ac:dyDescent="0.25">
      <c r="A47" t="s">
        <v>60</v>
      </c>
      <c r="B47" s="2">
        <v>20</v>
      </c>
      <c r="D47" s="16" t="s">
        <v>61</v>
      </c>
    </row>
    <row r="48" spans="1:4" x14ac:dyDescent="0.25">
      <c r="A48" t="s">
        <v>62</v>
      </c>
      <c r="B48" s="2">
        <v>25</v>
      </c>
      <c r="D48" s="16" t="s">
        <v>63</v>
      </c>
    </row>
  </sheetData>
  <mergeCells count="8">
    <mergeCell ref="A44:D44"/>
    <mergeCell ref="A1:D1"/>
    <mergeCell ref="A7:D7"/>
    <mergeCell ref="A14:D14"/>
    <mergeCell ref="A20:D20"/>
    <mergeCell ref="A28:D28"/>
    <mergeCell ref="A39:D39"/>
    <mergeCell ref="A33:D33"/>
  </mergeCells>
  <pageMargins left="0.7" right="0.7" top="0.75" bottom="0.75" header="0.3" footer="0.3"/>
  <ignoredErrors>
    <ignoredError sqref="B5 D9:D11 C31 B41:B42 B22:B24 C16:C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9CF9-EAF8-4602-8D2F-621E2031190A}">
  <dimension ref="A1:N8"/>
  <sheetViews>
    <sheetView workbookViewId="0">
      <selection activeCell="E12" sqref="E12"/>
    </sheetView>
  </sheetViews>
  <sheetFormatPr defaultRowHeight="15" x14ac:dyDescent="0.25"/>
  <cols>
    <col min="2" max="2" width="16.85546875" customWidth="1"/>
    <col min="3" max="3" width="13.5703125" customWidth="1"/>
    <col min="4" max="4" width="20.85546875" customWidth="1"/>
    <col min="5" max="5" width="12.7109375" customWidth="1"/>
    <col min="6" max="6" width="16.7109375" customWidth="1"/>
    <col min="7" max="7" width="13.42578125" customWidth="1"/>
    <col min="8" max="8" width="20.7109375" customWidth="1"/>
    <col min="9" max="9" width="12.5703125" customWidth="1"/>
    <col min="10" max="10" width="16.28515625" customWidth="1"/>
    <col min="11" max="11" width="13.42578125" customWidth="1"/>
    <col min="12" max="12" width="21.140625" customWidth="1"/>
    <col min="13" max="13" width="16.85546875" customWidth="1"/>
    <col min="14" max="14" width="20.42578125" customWidth="1"/>
  </cols>
  <sheetData>
    <row r="1" spans="1:14" x14ac:dyDescent="0.25">
      <c r="A1" s="9" t="s">
        <v>68</v>
      </c>
      <c r="B1" s="9" t="s">
        <v>69</v>
      </c>
      <c r="C1" s="9" t="s">
        <v>70</v>
      </c>
      <c r="D1" s="9" t="s">
        <v>71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79</v>
      </c>
      <c r="M1" s="9" t="s">
        <v>80</v>
      </c>
      <c r="N1" s="9" t="s">
        <v>81</v>
      </c>
    </row>
    <row r="2" spans="1:14" x14ac:dyDescent="0.25">
      <c r="A2" s="10">
        <v>2025</v>
      </c>
      <c r="B2" s="10">
        <f>Inputs!C9*12</f>
        <v>12000</v>
      </c>
      <c r="C2" s="11" t="str">
        <f>Inputs!$D$9</f>
        <v>5%</v>
      </c>
      <c r="D2" s="10">
        <f>Inputs!B9</f>
        <v>500</v>
      </c>
      <c r="E2" s="10">
        <f>B2*D2</f>
        <v>6000000</v>
      </c>
      <c r="F2" s="10">
        <f>Inputs!C10*12</f>
        <v>6000</v>
      </c>
      <c r="G2" s="10" t="str">
        <f>Inputs!$D$10</f>
        <v>3%</v>
      </c>
      <c r="H2" s="10">
        <f>Inputs!B10</f>
        <v>800</v>
      </c>
      <c r="I2" s="10">
        <f>F2*H2</f>
        <v>4800000</v>
      </c>
      <c r="J2" s="10">
        <f>Inputs!C11*12</f>
        <v>2400</v>
      </c>
      <c r="K2" s="10" t="str">
        <f>Inputs!$D$11</f>
        <v>4%</v>
      </c>
      <c r="L2" s="10">
        <f>Inputs!B11</f>
        <v>1200</v>
      </c>
      <c r="M2" s="10">
        <f>J2*L2</f>
        <v>2880000</v>
      </c>
      <c r="N2" s="10">
        <f t="shared" ref="N2:N7" si="0">E2+I2+M2</f>
        <v>13680000</v>
      </c>
    </row>
    <row r="3" spans="1:14" x14ac:dyDescent="0.25">
      <c r="A3" s="10">
        <v>2026</v>
      </c>
      <c r="B3" s="10">
        <f xml:space="preserve"> B2 * (1 + C2)</f>
        <v>12600</v>
      </c>
      <c r="C3" s="11" t="str">
        <f>Inputs!$D$9</f>
        <v>5%</v>
      </c>
      <c r="D3" s="10">
        <f xml:space="preserve"> D2 * (1 + Inputs!$B$5)</f>
        <v>530</v>
      </c>
      <c r="E3" s="10">
        <f xml:space="preserve"> B3 * D2</f>
        <v>6300000</v>
      </c>
      <c r="F3" s="10">
        <f xml:space="preserve"> F2 * (1 + G2)</f>
        <v>6180</v>
      </c>
      <c r="G3" s="10" t="str">
        <f>Inputs!$D$10</f>
        <v>3%</v>
      </c>
      <c r="H3" s="10">
        <f>H2*(1+Inputs!$B$5)</f>
        <v>848</v>
      </c>
      <c r="I3" s="10">
        <f xml:space="preserve"> F3 * H2</f>
        <v>4944000</v>
      </c>
      <c r="J3" s="10">
        <f xml:space="preserve"> J2 * (1 + K2)</f>
        <v>2496</v>
      </c>
      <c r="K3" s="10" t="str">
        <f>Inputs!$D$11</f>
        <v>4%</v>
      </c>
      <c r="L3" s="10">
        <f xml:space="preserve"> L2 * (1 + Inputs!$B$5)</f>
        <v>1272</v>
      </c>
      <c r="M3" s="10">
        <f>J3 * L3</f>
        <v>3174912</v>
      </c>
      <c r="N3" s="10">
        <f>E3+I3+M3</f>
        <v>14418912</v>
      </c>
    </row>
    <row r="4" spans="1:14" x14ac:dyDescent="0.25">
      <c r="A4" s="10">
        <v>2027</v>
      </c>
      <c r="B4" s="10">
        <f xml:space="preserve"> B3 * (1 + C3)</f>
        <v>13230</v>
      </c>
      <c r="C4" s="11" t="str">
        <f>Inputs!$D$9</f>
        <v>5%</v>
      </c>
      <c r="D4" s="10">
        <f xml:space="preserve"> D3 * (1 + Inputs!$B$5)</f>
        <v>561.80000000000007</v>
      </c>
      <c r="E4" s="10">
        <f xml:space="preserve"> B4 * D3</f>
        <v>7011900</v>
      </c>
      <c r="F4" s="10">
        <f xml:space="preserve"> F3 * (1 + G2)</f>
        <v>6365.4000000000005</v>
      </c>
      <c r="G4" s="10" t="str">
        <f>Inputs!$D$10</f>
        <v>3%</v>
      </c>
      <c r="H4" s="10">
        <f>H3*(1+Inputs!$B$5)</f>
        <v>898.88</v>
      </c>
      <c r="I4" s="10">
        <f>F4*H4</f>
        <v>5721730.7520000003</v>
      </c>
      <c r="J4" s="10">
        <f xml:space="preserve"> J3 * (1 + K2)</f>
        <v>2595.84</v>
      </c>
      <c r="K4" s="10" t="str">
        <f>Inputs!$D$11</f>
        <v>4%</v>
      </c>
      <c r="L4" s="10">
        <f xml:space="preserve"> L3 * (1 + Inputs!$B$5)</f>
        <v>1348.3200000000002</v>
      </c>
      <c r="M4" s="12">
        <f>J4 * L4</f>
        <v>3500022.9888000004</v>
      </c>
      <c r="N4" s="12">
        <f t="shared" si="0"/>
        <v>16233653.740800001</v>
      </c>
    </row>
    <row r="5" spans="1:14" x14ac:dyDescent="0.25">
      <c r="A5" s="10">
        <v>2028</v>
      </c>
      <c r="B5" s="12">
        <f xml:space="preserve"> B4 * (1 + C3)</f>
        <v>13891.5</v>
      </c>
      <c r="C5" s="11" t="str">
        <f>Inputs!$D$9</f>
        <v>5%</v>
      </c>
      <c r="D5" s="12">
        <f xml:space="preserve"> D4* (1 + Inputs!$B$5)</f>
        <v>595.50800000000015</v>
      </c>
      <c r="E5" s="10">
        <f xml:space="preserve"> B5 * D4</f>
        <v>7804244.7000000011</v>
      </c>
      <c r="F5" s="12">
        <f xml:space="preserve"> F4 * (1 + G2)</f>
        <v>6556.362000000001</v>
      </c>
      <c r="G5" s="10" t="str">
        <f>Inputs!$D$10</f>
        <v>3%</v>
      </c>
      <c r="H5" s="12">
        <f>H4*(1+Inputs!$B$5)</f>
        <v>952.81280000000004</v>
      </c>
      <c r="I5" s="10">
        <f>F5*H5</f>
        <v>6246985.635033601</v>
      </c>
      <c r="J5" s="12">
        <f xml:space="preserve"> J4 * (1 + K2)</f>
        <v>2699.6736000000001</v>
      </c>
      <c r="K5" s="10" t="str">
        <f>Inputs!$D$11</f>
        <v>4%</v>
      </c>
      <c r="L5" s="12">
        <f xml:space="preserve"> L4 * (1 + Inputs!$B$5)</f>
        <v>1429.2192000000002</v>
      </c>
      <c r="M5" s="12">
        <f>J5 * L5</f>
        <v>3858425.3428531205</v>
      </c>
      <c r="N5" s="12">
        <f t="shared" si="0"/>
        <v>17909655.677886724</v>
      </c>
    </row>
    <row r="6" spans="1:14" x14ac:dyDescent="0.25">
      <c r="A6" s="10">
        <v>2029</v>
      </c>
      <c r="B6" s="12">
        <f xml:space="preserve"> B5 * (1 + C3)</f>
        <v>14586.075000000001</v>
      </c>
      <c r="C6" s="11" t="str">
        <f>Inputs!$D$9</f>
        <v>5%</v>
      </c>
      <c r="D6" s="12">
        <f xml:space="preserve"> D5 * (1 + Inputs!$B$5)</f>
        <v>631.23848000000021</v>
      </c>
      <c r="E6" s="10">
        <f xml:space="preserve"> B6 * D5</f>
        <v>8686124.3511000033</v>
      </c>
      <c r="F6" s="12">
        <f xml:space="preserve"> F5 * (1 + G2)</f>
        <v>6753.0528600000016</v>
      </c>
      <c r="G6" s="10" t="str">
        <f>Inputs!$D$10</f>
        <v>3%</v>
      </c>
      <c r="H6" s="12">
        <f>H5*(1+Inputs!$B$5)</f>
        <v>1009.981568</v>
      </c>
      <c r="I6" s="10">
        <f>F6*H6</f>
        <v>6820458.9163296865</v>
      </c>
      <c r="J6" s="12">
        <f xml:space="preserve"> J5 * (1 + K2)</f>
        <v>2807.6605440000003</v>
      </c>
      <c r="K6" s="10" t="str">
        <f>Inputs!$D$11</f>
        <v>4%</v>
      </c>
      <c r="L6" s="12">
        <f xml:space="preserve"> L5 * (1 + Inputs!$B$5)</f>
        <v>1514.9723520000002</v>
      </c>
      <c r="M6" s="12">
        <f>J6 * L6</f>
        <v>4253528.0979612805</v>
      </c>
      <c r="N6" s="12">
        <f t="shared" si="0"/>
        <v>19760111.365390971</v>
      </c>
    </row>
    <row r="7" spans="1:14" x14ac:dyDescent="0.25">
      <c r="A7" s="10">
        <v>2030</v>
      </c>
      <c r="B7" s="13">
        <f xml:space="preserve"> B6 * (1 + C3)</f>
        <v>15315.378750000002</v>
      </c>
      <c r="C7" s="11" t="str">
        <f>Inputs!$D$9</f>
        <v>5%</v>
      </c>
      <c r="D7" s="13">
        <f xml:space="preserve"> D6 * (1 + Inputs!$B$5)</f>
        <v>669.1127888000002</v>
      </c>
      <c r="E7" s="10">
        <f xml:space="preserve"> B7 * D6</f>
        <v>9667656.4027743042</v>
      </c>
      <c r="F7" s="13">
        <f xml:space="preserve"> F6 * (1 + G2)</f>
        <v>6955.6444458000014</v>
      </c>
      <c r="G7" s="10" t="str">
        <f>Inputs!$D$10</f>
        <v>3%</v>
      </c>
      <c r="H7" s="13">
        <f>H6*(1+Inputs!$B$5)</f>
        <v>1070.5804620800002</v>
      </c>
      <c r="I7" s="10">
        <f>F7*H7</f>
        <v>7446577.0448487522</v>
      </c>
      <c r="J7" s="13">
        <f xml:space="preserve"> J6* (1 + K2)</f>
        <v>2919.9669657600002</v>
      </c>
      <c r="K7" s="10" t="str">
        <f>Inputs!$D$11</f>
        <v>4%</v>
      </c>
      <c r="L7" s="13">
        <f xml:space="preserve"> L6 * (1 + Inputs!$B$5)</f>
        <v>1605.8706931200004</v>
      </c>
      <c r="M7" s="12">
        <f>J7 * L7</f>
        <v>4689089.3751925165</v>
      </c>
      <c r="N7" s="12">
        <f t="shared" si="0"/>
        <v>21803322.822815571</v>
      </c>
    </row>
    <row r="8" spans="1:14" x14ac:dyDescent="0.25">
      <c r="H8" s="13"/>
    </row>
  </sheetData>
  <pageMargins left="0.7" right="0.7" top="0.75" bottom="0.75" header="0.3" footer="0.3"/>
  <ignoredErrors>
    <ignoredError sqref="D2:D5 H2 I3 L2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998A-E437-4FCA-A65F-B0D73906BAA0}">
  <dimension ref="A1:M7"/>
  <sheetViews>
    <sheetView topLeftCell="B1" zoomScaleNormal="100" workbookViewId="0">
      <selection activeCell="D2" sqref="D2"/>
    </sheetView>
  </sheetViews>
  <sheetFormatPr defaultRowHeight="15" x14ac:dyDescent="0.25"/>
  <cols>
    <col min="1" max="1" width="8.7109375" customWidth="1"/>
    <col min="2" max="2" width="15.85546875" customWidth="1"/>
    <col min="4" max="4" width="10" customWidth="1"/>
    <col min="5" max="5" width="11" bestFit="1" customWidth="1"/>
    <col min="6" max="6" width="18" customWidth="1"/>
    <col min="7" max="7" width="21.140625" customWidth="1"/>
    <col min="8" max="8" width="16.28515625" customWidth="1"/>
    <col min="9" max="9" width="15" customWidth="1"/>
    <col min="10" max="10" width="18.42578125" customWidth="1"/>
    <col min="11" max="11" width="16.7109375" customWidth="1"/>
    <col min="12" max="12" width="20.5703125" customWidth="1"/>
    <col min="13" max="13" width="12.7109375" customWidth="1"/>
  </cols>
  <sheetData>
    <row r="1" spans="1:13" x14ac:dyDescent="0.25">
      <c r="A1" s="9" t="s">
        <v>68</v>
      </c>
      <c r="B1" s="9" t="s">
        <v>81</v>
      </c>
      <c r="C1" s="9" t="s">
        <v>27</v>
      </c>
      <c r="D1" s="9" t="s">
        <v>29</v>
      </c>
      <c r="E1" s="9" t="s">
        <v>32</v>
      </c>
      <c r="F1" s="9" t="s">
        <v>82</v>
      </c>
      <c r="G1" s="9" t="s">
        <v>83</v>
      </c>
      <c r="H1" s="9" t="s">
        <v>84</v>
      </c>
      <c r="I1" s="9" t="s">
        <v>85</v>
      </c>
      <c r="J1" s="9" t="s">
        <v>86</v>
      </c>
      <c r="K1" s="9" t="s">
        <v>87</v>
      </c>
      <c r="L1" s="9" t="s">
        <v>88</v>
      </c>
      <c r="M1" s="9" t="s">
        <v>89</v>
      </c>
    </row>
    <row r="2" spans="1:13" x14ac:dyDescent="0.25">
      <c r="A2" s="10">
        <v>2025</v>
      </c>
      <c r="B2" s="14">
        <f>'Revenue Forecast'!N2</f>
        <v>13680000</v>
      </c>
      <c r="C2" s="14">
        <f>Inputs!B16</f>
        <v>50000</v>
      </c>
      <c r="D2" s="14">
        <f>Inputs!B17</f>
        <v>200000</v>
      </c>
      <c r="E2" s="14">
        <f>Inputs!B18</f>
        <v>20000</v>
      </c>
      <c r="F2" s="14">
        <f>C2+D2+E2</f>
        <v>270000</v>
      </c>
      <c r="G2" s="14">
        <f xml:space="preserve"> B2 * Inputs!$B$22</f>
        <v>4104000</v>
      </c>
      <c r="H2" s="14">
        <f xml:space="preserve"> B2 * Inputs!$B$23</f>
        <v>684000</v>
      </c>
      <c r="I2" s="14">
        <f xml:space="preserve"> B2 * Inputs!$B$24</f>
        <v>410400</v>
      </c>
      <c r="J2" s="14">
        <f xml:space="preserve"> B2 * Inputs!$B$25</f>
        <v>273600</v>
      </c>
      <c r="K2" s="14">
        <f xml:space="preserve"> B2 * Inputs!$B$26</f>
        <v>684000</v>
      </c>
      <c r="L2" s="14">
        <f>G2+H2+I2+J2+K2</f>
        <v>6156000</v>
      </c>
      <c r="M2" s="14">
        <f xml:space="preserve"> F2 + L2</f>
        <v>6426000</v>
      </c>
    </row>
    <row r="3" spans="1:13" x14ac:dyDescent="0.25">
      <c r="A3" s="10">
        <v>2026</v>
      </c>
      <c r="B3" s="14">
        <f>'Revenue Forecast'!N3</f>
        <v>14418912</v>
      </c>
      <c r="C3" s="10">
        <f>C2*(1+Inputs!C16)</f>
        <v>52500</v>
      </c>
      <c r="D3" s="10">
        <f xml:space="preserve"> D2 * (1 + Inputs!$C$17)</f>
        <v>214000</v>
      </c>
      <c r="E3" s="10">
        <f xml:space="preserve"> E2 * (1 + Inputs!$C$18)</f>
        <v>20800</v>
      </c>
      <c r="F3" s="10">
        <f>C3+D3+E3</f>
        <v>287300</v>
      </c>
      <c r="G3" s="14">
        <f xml:space="preserve"> B3 * Inputs!$B$22</f>
        <v>4325673.5999999996</v>
      </c>
      <c r="H3" s="14">
        <f xml:space="preserve"> B3 * Inputs!$B$23</f>
        <v>720945.60000000009</v>
      </c>
      <c r="I3" s="14">
        <f xml:space="preserve"> B3 * Inputs!$B$24</f>
        <v>432567.36</v>
      </c>
      <c r="J3" s="14">
        <f xml:space="preserve"> B3 * Inputs!$B$25</f>
        <v>288378.23999999999</v>
      </c>
      <c r="K3" s="14">
        <f xml:space="preserve"> B3 * Inputs!$B$26</f>
        <v>720945.60000000009</v>
      </c>
      <c r="L3" s="14">
        <f>G3+H3+I3+J3+K3</f>
        <v>6488510.4000000004</v>
      </c>
      <c r="M3" s="14">
        <f xml:space="preserve"> F3 + L3</f>
        <v>6775810.4000000004</v>
      </c>
    </row>
    <row r="4" spans="1:13" x14ac:dyDescent="0.25">
      <c r="A4" s="10">
        <v>2027</v>
      </c>
      <c r="B4" s="14">
        <f>'Revenue Forecast'!N4</f>
        <v>16233653.740800001</v>
      </c>
      <c r="C4" s="10">
        <f>C3*(1+Inputs!C17)</f>
        <v>56175</v>
      </c>
      <c r="D4" s="10">
        <f xml:space="preserve"> D3 * (1 + Inputs!$C$17)</f>
        <v>228980</v>
      </c>
      <c r="E4" s="10">
        <f xml:space="preserve"> E3 * (1 + Inputs!$C$18)</f>
        <v>21632</v>
      </c>
      <c r="F4" s="10">
        <f>C4+D4+E4</f>
        <v>306787</v>
      </c>
      <c r="G4" s="14">
        <f xml:space="preserve"> B4 * Inputs!$B$22</f>
        <v>4870096.1222400004</v>
      </c>
      <c r="H4" s="14">
        <f xml:space="preserve"> B4 * Inputs!$B$23</f>
        <v>811682.68704000011</v>
      </c>
      <c r="I4" s="14">
        <f xml:space="preserve"> B4 * Inputs!$B$24</f>
        <v>487009.61222399998</v>
      </c>
      <c r="J4" s="14">
        <f xml:space="preserve"> B4 * Inputs!$B$25</f>
        <v>324673.07481600001</v>
      </c>
      <c r="K4" s="14">
        <f xml:space="preserve"> B4 * Inputs!$B$26</f>
        <v>811682.68704000011</v>
      </c>
      <c r="L4" s="14">
        <f t="shared" ref="L4:L7" si="0">G4+H4+I4+J4+K4</f>
        <v>7305144.1833600001</v>
      </c>
      <c r="M4" s="14">
        <f t="shared" ref="M4:M7" si="1" xml:space="preserve"> F4 + L4</f>
        <v>7611931.1833600001</v>
      </c>
    </row>
    <row r="5" spans="1:13" x14ac:dyDescent="0.25">
      <c r="A5" s="10">
        <v>2028</v>
      </c>
      <c r="B5" s="14">
        <f>'Revenue Forecast'!N5</f>
        <v>17909655.677886724</v>
      </c>
      <c r="C5" s="10">
        <f>C4*(1+Inputs!C18)</f>
        <v>58422</v>
      </c>
      <c r="D5" s="10">
        <f xml:space="preserve"> D4 * (1 + Inputs!$C$17)</f>
        <v>245008.6</v>
      </c>
      <c r="E5" s="10">
        <f xml:space="preserve"> E4 * (1 + Inputs!$C$18)</f>
        <v>22497.280000000002</v>
      </c>
      <c r="F5" s="10">
        <f t="shared" ref="F5:F7" si="2">C5+D5+E5</f>
        <v>325927.88</v>
      </c>
      <c r="G5" s="14">
        <f xml:space="preserve"> B5 * Inputs!$B$22</f>
        <v>5372896.703366017</v>
      </c>
      <c r="H5" s="14">
        <f xml:space="preserve"> B5 * Inputs!$B$23</f>
        <v>895482.78389433632</v>
      </c>
      <c r="I5" s="14">
        <f xml:space="preserve"> B5 * Inputs!$B$24</f>
        <v>537289.67033660167</v>
      </c>
      <c r="J5" s="14">
        <f xml:space="preserve"> B5 * Inputs!$B$25</f>
        <v>358193.11355773447</v>
      </c>
      <c r="K5" s="14">
        <f xml:space="preserve"> B5 * Inputs!$B$26</f>
        <v>895482.78389433632</v>
      </c>
      <c r="L5" s="14">
        <f t="shared" si="0"/>
        <v>8059345.0550490245</v>
      </c>
      <c r="M5" s="14">
        <f t="shared" si="1"/>
        <v>8385272.9350490244</v>
      </c>
    </row>
    <row r="6" spans="1:13" x14ac:dyDescent="0.25">
      <c r="A6" s="10">
        <v>2029</v>
      </c>
      <c r="B6" s="14">
        <f>'Revenue Forecast'!N6</f>
        <v>19760111.365390971</v>
      </c>
      <c r="C6" s="10">
        <f>C5*(1+Inputs!C19)</f>
        <v>58422</v>
      </c>
      <c r="D6" s="10">
        <f xml:space="preserve"> D5 * (1 + Inputs!$C$17)</f>
        <v>262159.20200000005</v>
      </c>
      <c r="E6" s="10">
        <f xml:space="preserve"> E5 * (1 + Inputs!$C$18)</f>
        <v>23397.171200000004</v>
      </c>
      <c r="F6" s="10">
        <f t="shared" si="2"/>
        <v>343978.37320000003</v>
      </c>
      <c r="G6" s="14">
        <f xml:space="preserve"> B6 * Inputs!$B$22</f>
        <v>5928033.4096172908</v>
      </c>
      <c r="H6" s="14">
        <f xml:space="preserve"> B6 * Inputs!$B$23</f>
        <v>988005.56826954859</v>
      </c>
      <c r="I6" s="14">
        <f xml:space="preserve"> B6 * Inputs!$B$24</f>
        <v>592803.34096172906</v>
      </c>
      <c r="J6" s="14">
        <f xml:space="preserve"> B6 * Inputs!$B$25</f>
        <v>395202.22730781941</v>
      </c>
      <c r="K6" s="14">
        <f xml:space="preserve"> B6 * Inputs!$B$26</f>
        <v>988005.56826954859</v>
      </c>
      <c r="L6" s="14">
        <f t="shared" si="0"/>
        <v>8892050.1144259367</v>
      </c>
      <c r="M6" s="14">
        <f t="shared" si="1"/>
        <v>9236028.487625936</v>
      </c>
    </row>
    <row r="7" spans="1:13" x14ac:dyDescent="0.25">
      <c r="A7" s="10">
        <v>2030</v>
      </c>
      <c r="B7" s="14">
        <f>'Revenue Forecast'!N7</f>
        <v>21803322.822815571</v>
      </c>
      <c r="C7" s="10">
        <f>C6*(1+Inputs!C20)</f>
        <v>58422</v>
      </c>
      <c r="D7" s="10">
        <f xml:space="preserve"> D6 * (1 + Inputs!$C$17)</f>
        <v>280510.3461400001</v>
      </c>
      <c r="E7" s="10">
        <f xml:space="preserve"> E6 * (1 + Inputs!$C$18)</f>
        <v>24333.058048000006</v>
      </c>
      <c r="F7" s="10">
        <f t="shared" si="2"/>
        <v>363265.40418800013</v>
      </c>
      <c r="G7" s="14">
        <f xml:space="preserve"> B7 * Inputs!$B$22</f>
        <v>6540996.8468446713</v>
      </c>
      <c r="H7" s="14">
        <f xml:space="preserve"> B7 * Inputs!$B$23</f>
        <v>1090166.1411407785</v>
      </c>
      <c r="I7" s="14">
        <f xml:space="preserve"> B7 * Inputs!$B$24</f>
        <v>654099.68468446715</v>
      </c>
      <c r="J7" s="14">
        <f xml:space="preserve"> B7 * Inputs!$B$25</f>
        <v>436066.45645631145</v>
      </c>
      <c r="K7" s="14">
        <f xml:space="preserve"> B7 * Inputs!$B$26</f>
        <v>1090166.1411407785</v>
      </c>
      <c r="L7" s="14">
        <f t="shared" si="0"/>
        <v>9811495.270267006</v>
      </c>
      <c r="M7" s="14">
        <f t="shared" si="1"/>
        <v>10174760.674455006</v>
      </c>
    </row>
  </sheetData>
  <pageMargins left="0.7" right="0.7" top="0.75" bottom="0.75" header="0.3" footer="0.3"/>
  <ignoredErrors>
    <ignoredError sqref="E2 C2:D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B587-89E7-45C7-BB5C-C440D0C93202}">
  <dimension ref="A3:C10"/>
  <sheetViews>
    <sheetView workbookViewId="0">
      <selection activeCell="P10" sqref="P10"/>
    </sheetView>
  </sheetViews>
  <sheetFormatPr defaultRowHeight="15" x14ac:dyDescent="0.25"/>
  <cols>
    <col min="1" max="1" width="13.42578125" bestFit="1" customWidth="1"/>
    <col min="2" max="2" width="20.85546875" bestFit="1" customWidth="1"/>
    <col min="3" max="3" width="16.5703125" bestFit="1" customWidth="1"/>
  </cols>
  <sheetData>
    <row r="3" spans="1:3" x14ac:dyDescent="0.25">
      <c r="A3" s="24" t="s">
        <v>164</v>
      </c>
      <c r="B3" t="s">
        <v>167</v>
      </c>
      <c r="C3" t="s">
        <v>166</v>
      </c>
    </row>
    <row r="4" spans="1:3" x14ac:dyDescent="0.25">
      <c r="A4" s="25">
        <v>2025</v>
      </c>
      <c r="B4">
        <v>13680000</v>
      </c>
      <c r="C4" s="15">
        <v>5316750</v>
      </c>
    </row>
    <row r="5" spans="1:3" x14ac:dyDescent="0.25">
      <c r="A5" s="25">
        <v>2026</v>
      </c>
      <c r="B5">
        <v>14418912</v>
      </c>
      <c r="C5" s="15">
        <v>5608576.1999999993</v>
      </c>
    </row>
    <row r="6" spans="1:3" x14ac:dyDescent="0.25">
      <c r="A6" s="25">
        <v>2027</v>
      </c>
      <c r="B6">
        <v>16233653.740800001</v>
      </c>
      <c r="C6" s="15">
        <v>6342541.9180800011</v>
      </c>
    </row>
    <row r="7" spans="1:3" x14ac:dyDescent="0.25">
      <c r="A7" s="25">
        <v>2028</v>
      </c>
      <c r="B7">
        <v>17909655.677886724</v>
      </c>
      <c r="C7" s="15">
        <v>7019537.0571282757</v>
      </c>
    </row>
    <row r="8" spans="1:3" x14ac:dyDescent="0.25">
      <c r="A8" s="25">
        <v>2029</v>
      </c>
      <c r="B8">
        <v>19760111.365390971</v>
      </c>
      <c r="C8" s="15">
        <v>7769312.158323776</v>
      </c>
    </row>
    <row r="9" spans="1:3" x14ac:dyDescent="0.25">
      <c r="A9" s="25">
        <v>2030</v>
      </c>
      <c r="B9">
        <v>21803322.822815571</v>
      </c>
      <c r="C9" s="15">
        <v>8721421.611270424</v>
      </c>
    </row>
    <row r="10" spans="1:3" x14ac:dyDescent="0.25">
      <c r="A10" s="25" t="s">
        <v>165</v>
      </c>
      <c r="B10">
        <v>103805655.60689327</v>
      </c>
      <c r="C10" s="15">
        <v>40778138.944802478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2E73F-4EA2-4097-A019-AE62FB3B3754}">
  <dimension ref="A3:C10"/>
  <sheetViews>
    <sheetView zoomScaleNormal="100" workbookViewId="0">
      <selection activeCell="N12" sqref="N12"/>
    </sheetView>
  </sheetViews>
  <sheetFormatPr defaultRowHeight="15" x14ac:dyDescent="0.25"/>
  <cols>
    <col min="1" max="1" width="13.42578125" bestFit="1" customWidth="1"/>
    <col min="2" max="2" width="26.140625" bestFit="1" customWidth="1"/>
    <col min="3" max="3" width="23.5703125" bestFit="1" customWidth="1"/>
    <col min="8" max="8" width="11.28515625" bestFit="1" customWidth="1"/>
  </cols>
  <sheetData>
    <row r="3" spans="1:3" x14ac:dyDescent="0.25">
      <c r="A3" s="24" t="s">
        <v>164</v>
      </c>
      <c r="B3" t="s">
        <v>168</v>
      </c>
      <c r="C3" t="s">
        <v>169</v>
      </c>
    </row>
    <row r="4" spans="1:3" x14ac:dyDescent="0.25">
      <c r="A4" s="25">
        <v>2025</v>
      </c>
      <c r="B4" s="15">
        <v>6156000</v>
      </c>
      <c r="C4" s="15">
        <v>270000</v>
      </c>
    </row>
    <row r="5" spans="1:3" x14ac:dyDescent="0.25">
      <c r="A5" s="25">
        <v>2026</v>
      </c>
      <c r="B5" s="15">
        <v>6488510.4000000004</v>
      </c>
      <c r="C5" s="15">
        <v>287300</v>
      </c>
    </row>
    <row r="6" spans="1:3" x14ac:dyDescent="0.25">
      <c r="A6" s="25">
        <v>2027</v>
      </c>
      <c r="B6" s="15">
        <v>7305144.1833600001</v>
      </c>
      <c r="C6" s="15">
        <v>306787</v>
      </c>
    </row>
    <row r="7" spans="1:3" x14ac:dyDescent="0.25">
      <c r="A7" s="25">
        <v>2028</v>
      </c>
      <c r="B7" s="15">
        <v>8059345.0550490245</v>
      </c>
      <c r="C7" s="15">
        <v>325927.88</v>
      </c>
    </row>
    <row r="8" spans="1:3" x14ac:dyDescent="0.25">
      <c r="A8" s="25">
        <v>2029</v>
      </c>
      <c r="B8" s="15">
        <v>8892050.1144259367</v>
      </c>
      <c r="C8" s="15">
        <v>343978.37320000003</v>
      </c>
    </row>
    <row r="9" spans="1:3" x14ac:dyDescent="0.25">
      <c r="A9" s="25">
        <v>2030</v>
      </c>
      <c r="B9" s="15">
        <v>9811495.270267006</v>
      </c>
      <c r="C9" s="15">
        <v>363265.40418800013</v>
      </c>
    </row>
    <row r="10" spans="1:3" x14ac:dyDescent="0.25">
      <c r="A10" s="25" t="s">
        <v>165</v>
      </c>
      <c r="B10" s="15">
        <v>46712545.023101971</v>
      </c>
      <c r="C10" s="15">
        <v>1897258.6573880001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D200-43F5-4A72-A955-B62CD9AEDEA4}">
  <dimension ref="A1:K7"/>
  <sheetViews>
    <sheetView workbookViewId="0">
      <selection activeCell="G17" sqref="G17"/>
    </sheetView>
  </sheetViews>
  <sheetFormatPr defaultRowHeight="15" x14ac:dyDescent="0.25"/>
  <cols>
    <col min="1" max="1" width="7.140625" customWidth="1"/>
    <col min="2" max="2" width="15.85546875" customWidth="1"/>
    <col min="3" max="3" width="20.5703125" customWidth="1"/>
    <col min="4" max="4" width="18" customWidth="1"/>
    <col min="5" max="5" width="36.5703125" customWidth="1"/>
    <col min="6" max="6" width="14.5703125" customWidth="1"/>
    <col min="7" max="7" width="12.28515625" customWidth="1"/>
    <col min="8" max="8" width="10.140625" customWidth="1"/>
    <col min="9" max="9" width="18" customWidth="1"/>
    <col min="10" max="10" width="9.85546875" customWidth="1"/>
    <col min="11" max="11" width="12.28515625" customWidth="1"/>
  </cols>
  <sheetData>
    <row r="1" spans="1:11" x14ac:dyDescent="0.25">
      <c r="A1" s="9" t="s">
        <v>68</v>
      </c>
      <c r="B1" s="9" t="s">
        <v>81</v>
      </c>
      <c r="C1" s="9" t="s">
        <v>88</v>
      </c>
      <c r="D1" s="9" t="s">
        <v>82</v>
      </c>
      <c r="E1" s="9" t="s">
        <v>90</v>
      </c>
      <c r="F1" s="9" t="s">
        <v>91</v>
      </c>
      <c r="G1" s="9" t="s">
        <v>92</v>
      </c>
      <c r="H1" s="9" t="s">
        <v>93</v>
      </c>
      <c r="I1" s="9" t="s">
        <v>94</v>
      </c>
      <c r="J1" s="9" t="s">
        <v>95</v>
      </c>
      <c r="K1" s="9" t="s">
        <v>96</v>
      </c>
    </row>
    <row r="2" spans="1:11" x14ac:dyDescent="0.25">
      <c r="A2" s="10">
        <v>2025</v>
      </c>
      <c r="B2" s="10">
        <f>'Revenue Forecast'!N2</f>
        <v>13680000</v>
      </c>
      <c r="C2" s="14">
        <f>'Cost Breakdown'!L2</f>
        <v>6156000</v>
      </c>
      <c r="D2" s="14">
        <f>'Cost Breakdown'!F2</f>
        <v>270000</v>
      </c>
      <c r="E2" s="14">
        <f>B2-(C2+D2)</f>
        <v>7254000</v>
      </c>
      <c r="F2" s="10">
        <f>Inputs!$B$37 * Inputs!$B$42</f>
        <v>115000</v>
      </c>
      <c r="G2" s="14">
        <f>E2-F2</f>
        <v>7139000</v>
      </c>
      <c r="H2" s="14">
        <f>Inputs!$B$31 * Inputs!$C$31</f>
        <v>50000</v>
      </c>
      <c r="I2" s="14">
        <f>G2-H2</f>
        <v>7089000</v>
      </c>
      <c r="J2" s="10">
        <f xml:space="preserve"> I2 * Inputs!$B$41</f>
        <v>1772250</v>
      </c>
      <c r="K2" s="14">
        <f>I2-J2</f>
        <v>5316750</v>
      </c>
    </row>
    <row r="3" spans="1:11" x14ac:dyDescent="0.25">
      <c r="A3" s="10">
        <v>2026</v>
      </c>
      <c r="B3" s="23">
        <f>'Revenue Forecast'!N3</f>
        <v>14418912</v>
      </c>
      <c r="C3" s="14">
        <f>'Cost Breakdown'!L3</f>
        <v>6488510.4000000004</v>
      </c>
      <c r="D3" s="14">
        <f>'Cost Breakdown'!F3</f>
        <v>287300</v>
      </c>
      <c r="E3" s="14">
        <f t="shared" ref="E3:E7" si="0">B3-(C3+D3)</f>
        <v>7643101.5999999996</v>
      </c>
      <c r="F3" s="10">
        <f>Inputs!$B$37 * Inputs!$B$42</f>
        <v>115000</v>
      </c>
      <c r="G3" s="14">
        <f t="shared" ref="G3:G6" si="1">E3-F3</f>
        <v>7528101.5999999996</v>
      </c>
      <c r="H3" s="14">
        <f>Inputs!$B$31 * Inputs!$C$31</f>
        <v>50000</v>
      </c>
      <c r="I3" s="14">
        <f t="shared" ref="I3:I7" si="2">G3-H3</f>
        <v>7478101.5999999996</v>
      </c>
      <c r="J3" s="10">
        <f xml:space="preserve"> I3 * Inputs!$B$41</f>
        <v>1869525.4</v>
      </c>
      <c r="K3" s="14">
        <f t="shared" ref="K3:K7" si="3">I3-J3</f>
        <v>5608576.1999999993</v>
      </c>
    </row>
    <row r="4" spans="1:11" x14ac:dyDescent="0.25">
      <c r="A4" s="10">
        <v>2027</v>
      </c>
      <c r="B4" s="10">
        <f>'Revenue Forecast'!N4</f>
        <v>16233653.740800001</v>
      </c>
      <c r="C4" s="14">
        <f>'Cost Breakdown'!L4</f>
        <v>7305144.1833600001</v>
      </c>
      <c r="D4" s="14">
        <f>'Cost Breakdown'!F4</f>
        <v>306787</v>
      </c>
      <c r="E4" s="14">
        <f t="shared" si="0"/>
        <v>8621722.5574400015</v>
      </c>
      <c r="F4" s="10">
        <f>Inputs!$B$37 * Inputs!$B$42</f>
        <v>115000</v>
      </c>
      <c r="G4" s="14">
        <f t="shared" si="1"/>
        <v>8506722.5574400015</v>
      </c>
      <c r="H4" s="14">
        <f>Inputs!$B$31 * Inputs!$C$31</f>
        <v>50000</v>
      </c>
      <c r="I4" s="14">
        <f t="shared" si="2"/>
        <v>8456722.5574400015</v>
      </c>
      <c r="J4" s="10">
        <f xml:space="preserve"> I4 * Inputs!$B$41</f>
        <v>2114180.6393600004</v>
      </c>
      <c r="K4" s="14">
        <f t="shared" si="3"/>
        <v>6342541.9180800011</v>
      </c>
    </row>
    <row r="5" spans="1:11" x14ac:dyDescent="0.25">
      <c r="A5" s="10">
        <v>2028</v>
      </c>
      <c r="B5" s="10">
        <f>'Revenue Forecast'!N5</f>
        <v>17909655.677886724</v>
      </c>
      <c r="C5" s="14">
        <f>'Cost Breakdown'!L5</f>
        <v>8059345.0550490245</v>
      </c>
      <c r="D5" s="14">
        <f>'Cost Breakdown'!F5</f>
        <v>325927.88</v>
      </c>
      <c r="E5" s="14">
        <f t="shared" si="0"/>
        <v>9524382.742837701</v>
      </c>
      <c r="F5" s="10">
        <f>Inputs!$B$37 * Inputs!$B$42</f>
        <v>115000</v>
      </c>
      <c r="G5" s="14">
        <f t="shared" si="1"/>
        <v>9409382.742837701</v>
      </c>
      <c r="H5" s="14">
        <f>Inputs!$B$31 * Inputs!$C$31</f>
        <v>50000</v>
      </c>
      <c r="I5" s="14">
        <f t="shared" si="2"/>
        <v>9359382.742837701</v>
      </c>
      <c r="J5" s="10">
        <f xml:space="preserve"> I5 * Inputs!$B$41</f>
        <v>2339845.6857094252</v>
      </c>
      <c r="K5" s="14">
        <f t="shared" si="3"/>
        <v>7019537.0571282757</v>
      </c>
    </row>
    <row r="6" spans="1:11" x14ac:dyDescent="0.25">
      <c r="A6" s="10">
        <v>2029</v>
      </c>
      <c r="B6" s="10">
        <f>'Revenue Forecast'!N6</f>
        <v>19760111.365390971</v>
      </c>
      <c r="C6" s="14">
        <f>'Cost Breakdown'!L6</f>
        <v>8892050.1144259367</v>
      </c>
      <c r="D6" s="14">
        <f>'Cost Breakdown'!F6</f>
        <v>343978.37320000003</v>
      </c>
      <c r="E6" s="14">
        <f t="shared" si="0"/>
        <v>10524082.877765035</v>
      </c>
      <c r="F6" s="10">
        <f>Inputs!$B$37 * Inputs!$B$42</f>
        <v>115000</v>
      </c>
      <c r="G6" s="14">
        <f t="shared" si="1"/>
        <v>10409082.877765035</v>
      </c>
      <c r="H6" s="14">
        <f>Inputs!$B$31 * Inputs!$C$31</f>
        <v>50000</v>
      </c>
      <c r="I6" s="14">
        <f>G6-H6</f>
        <v>10359082.877765035</v>
      </c>
      <c r="J6" s="10">
        <f xml:space="preserve"> I6 * Inputs!$B$41</f>
        <v>2589770.7194412588</v>
      </c>
      <c r="K6" s="14">
        <f t="shared" si="3"/>
        <v>7769312.158323776</v>
      </c>
    </row>
    <row r="7" spans="1:11" x14ac:dyDescent="0.25">
      <c r="A7" s="10">
        <v>2030</v>
      </c>
      <c r="B7" s="10">
        <f>'Revenue Forecast'!N7</f>
        <v>21803322.822815571</v>
      </c>
      <c r="C7" s="14">
        <f>'Cost Breakdown'!L7</f>
        <v>9811495.270267006</v>
      </c>
      <c r="D7" s="14">
        <f>'Cost Breakdown'!F7</f>
        <v>363265.40418800013</v>
      </c>
      <c r="E7" s="14">
        <f t="shared" si="0"/>
        <v>11628562.148360565</v>
      </c>
      <c r="F7" s="10">
        <v>0</v>
      </c>
      <c r="G7" s="14">
        <f>E7-F7</f>
        <v>11628562.148360565</v>
      </c>
      <c r="H7" s="14">
        <v>0</v>
      </c>
      <c r="I7" s="14">
        <f t="shared" si="2"/>
        <v>11628562.148360565</v>
      </c>
      <c r="J7" s="10">
        <f xml:space="preserve"> I7 * Inputs!$B$41</f>
        <v>2907140.5370901413</v>
      </c>
      <c r="K7" s="14">
        <f t="shared" si="3"/>
        <v>8721421.611270424</v>
      </c>
    </row>
  </sheetData>
  <pageMargins left="0.7" right="0.7" top="0.75" bottom="0.75" header="0.3" footer="0.3"/>
  <ignoredErrors>
    <ignoredError sqref="H2:H6" formula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3131-1DED-477D-89D1-2EA005398252}">
  <dimension ref="A2:G21"/>
  <sheetViews>
    <sheetView workbookViewId="0">
      <selection activeCell="B21" sqref="B21"/>
    </sheetView>
  </sheetViews>
  <sheetFormatPr defaultRowHeight="15" x14ac:dyDescent="0.25"/>
  <cols>
    <col min="1" max="1" width="33.7109375" customWidth="1"/>
    <col min="2" max="2" width="27" customWidth="1"/>
    <col min="3" max="3" width="13.28515625" customWidth="1"/>
    <col min="4" max="4" width="12.140625" customWidth="1"/>
    <col min="5" max="5" width="12.85546875" customWidth="1"/>
    <col min="6" max="6" width="12.7109375" customWidth="1"/>
    <col min="7" max="7" width="17.140625" customWidth="1"/>
  </cols>
  <sheetData>
    <row r="2" spans="1:7" x14ac:dyDescent="0.25">
      <c r="A2" s="9" t="s">
        <v>132</v>
      </c>
      <c r="B2" s="9" t="s">
        <v>105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</row>
    <row r="3" spans="1:7" x14ac:dyDescent="0.25">
      <c r="A3" s="21" t="s">
        <v>136</v>
      </c>
    </row>
    <row r="4" spans="1:7" x14ac:dyDescent="0.25">
      <c r="A4" t="s">
        <v>137</v>
      </c>
      <c r="B4" s="15">
        <f>'P&amp;L (Profit &amp; Loss)'!K2</f>
        <v>5316750</v>
      </c>
      <c r="C4" s="15">
        <f>'P&amp;L (Profit &amp; Loss)'!K3</f>
        <v>5608576.1999999993</v>
      </c>
      <c r="D4" s="15">
        <f>'P&amp;L (Profit &amp; Loss)'!K4</f>
        <v>6342541.9180800011</v>
      </c>
      <c r="E4" s="15">
        <f>'P&amp;L (Profit &amp; Loss)'!K5</f>
        <v>7019537.0571282757</v>
      </c>
      <c r="F4" s="15">
        <f>'P&amp;L (Profit &amp; Loss)'!K6</f>
        <v>7769312.158323776</v>
      </c>
      <c r="G4" s="15">
        <f>'P&amp;L (Profit &amp; Loss)'!K7</f>
        <v>8721421.611270424</v>
      </c>
    </row>
    <row r="5" spans="1:7" x14ac:dyDescent="0.25">
      <c r="A5" t="s">
        <v>138</v>
      </c>
      <c r="B5">
        <f>'P&amp;L (Profit &amp; Loss)'!F2</f>
        <v>115000</v>
      </c>
      <c r="C5">
        <f>'P&amp;L (Profit &amp; Loss)'!F3</f>
        <v>115000</v>
      </c>
      <c r="D5">
        <f>'P&amp;L (Profit &amp; Loss)'!F4</f>
        <v>115000</v>
      </c>
      <c r="E5">
        <f>'P&amp;L (Profit &amp; Loss)'!F5</f>
        <v>115000</v>
      </c>
      <c r="F5">
        <f>'P&amp;L (Profit &amp; Loss)'!F6</f>
        <v>115000</v>
      </c>
      <c r="G5">
        <f>'P&amp;L (Profit &amp; Loss)'!F7</f>
        <v>0</v>
      </c>
    </row>
    <row r="6" spans="1:7" x14ac:dyDescent="0.25">
      <c r="A6" t="s">
        <v>139</v>
      </c>
      <c r="B6">
        <f>'Balance Sheet'!B5</f>
        <v>1124383.5616438356</v>
      </c>
      <c r="C6">
        <f>'Balance Sheet'!C5 - 'Balance Sheet'!B5</f>
        <v>60732.493150684983</v>
      </c>
      <c r="D6">
        <f>'Balance Sheet'!D5 - 'Balance Sheet'!C5</f>
        <v>149156.85540821915</v>
      </c>
      <c r="E6">
        <f>'Balance Sheet'!E5 - 'Balance Sheet'!D5</f>
        <v>137753.58387014177</v>
      </c>
      <c r="F6">
        <f>'Balance Sheet'!F5 - 'Balance Sheet'!E5</f>
        <v>152092.24828802026</v>
      </c>
      <c r="G6">
        <f>'Balance Sheet'!G5 - 'Balance Sheet'!F5</f>
        <v>167935.1882814737</v>
      </c>
    </row>
    <row r="7" spans="1:7" x14ac:dyDescent="0.25">
      <c r="A7" t="s">
        <v>140</v>
      </c>
      <c r="B7">
        <f>'Balance Sheet'!B6</f>
        <v>337315.0684931507</v>
      </c>
      <c r="C7">
        <f>'Balance Sheet'!C6 - 'Balance Sheet'!B6</f>
        <v>18219.747945205483</v>
      </c>
      <c r="D7">
        <f>'Balance Sheet'!D6 - 'Balance Sheet'!C6</f>
        <v>44747.056622465723</v>
      </c>
      <c r="E7">
        <f>'Balance Sheet'!E6 - 'Balance Sheet'!D6</f>
        <v>41326.075161042449</v>
      </c>
      <c r="F7">
        <f>'Balance Sheet'!F6 - 'Balance Sheet'!E6</f>
        <v>45627.674486406147</v>
      </c>
      <c r="G7">
        <f>'Balance Sheet'!G6 - 'Balance Sheet'!F6</f>
        <v>50380.556484442146</v>
      </c>
    </row>
    <row r="8" spans="1:7" x14ac:dyDescent="0.25">
      <c r="A8" t="s">
        <v>141</v>
      </c>
      <c r="B8">
        <f>'Balance Sheet'!B16</f>
        <v>421643.83561643836</v>
      </c>
      <c r="C8">
        <f>'Balance Sheet'!C16 - 'Balance Sheet'!B16</f>
        <v>22774.684931506868</v>
      </c>
      <c r="D8">
        <f>'Balance Sheet'!D16 - 'Balance Sheet'!C16</f>
        <v>55933.820778082125</v>
      </c>
      <c r="E8">
        <f>'Balance Sheet'!E16 - 'Balance Sheet'!D16</f>
        <v>51657.593951303104</v>
      </c>
      <c r="F8">
        <f>'Balance Sheet'!F16 - 'Balance Sheet'!E16</f>
        <v>57034.593108007684</v>
      </c>
      <c r="G8">
        <f>'Balance Sheet'!G16 - 'Balance Sheet'!F16</f>
        <v>62975.695605552639</v>
      </c>
    </row>
    <row r="9" spans="1:7" x14ac:dyDescent="0.25">
      <c r="A9" t="s">
        <v>142</v>
      </c>
      <c r="B9" s="15">
        <f>B4+B5-B6-B7+B8</f>
        <v>4391695.2054794524</v>
      </c>
      <c r="C9" s="15">
        <f>C4+C5-C6-C7+C8</f>
        <v>5667398.6438356154</v>
      </c>
      <c r="D9" s="15">
        <f t="shared" ref="D9:G9" si="0">D4+D5-D6-D7+D8</f>
        <v>6319571.8268273985</v>
      </c>
      <c r="E9" s="15">
        <f t="shared" si="0"/>
        <v>7007114.9920483949</v>
      </c>
      <c r="F9" s="15">
        <f t="shared" si="0"/>
        <v>7743626.828657357</v>
      </c>
      <c r="G9" s="15">
        <f t="shared" si="0"/>
        <v>8566081.5621100608</v>
      </c>
    </row>
    <row r="10" spans="1:7" x14ac:dyDescent="0.25">
      <c r="A10" s="21" t="s">
        <v>143</v>
      </c>
    </row>
    <row r="11" spans="1:7" x14ac:dyDescent="0.25">
      <c r="A11" t="s">
        <v>144</v>
      </c>
      <c r="B11">
        <f>-1150000</f>
        <v>-1150000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</row>
    <row r="12" spans="1:7" x14ac:dyDescent="0.25">
      <c r="A12" t="s">
        <v>145</v>
      </c>
      <c r="B12">
        <f>-1150000</f>
        <v>-1150000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</row>
    <row r="13" spans="1:7" x14ac:dyDescent="0.25">
      <c r="A13" s="21" t="s">
        <v>146</v>
      </c>
    </row>
    <row r="14" spans="1:7" x14ac:dyDescent="0.25">
      <c r="A14" t="s">
        <v>147</v>
      </c>
      <c r="B14">
        <v>500000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25">
      <c r="A15" t="s">
        <v>148</v>
      </c>
      <c r="B15">
        <v>0</v>
      </c>
      <c r="C15" s="15">
        <f>100000</f>
        <v>100000</v>
      </c>
      <c r="D15" s="15">
        <f t="shared" ref="D15:G15" si="1">100000</f>
        <v>100000</v>
      </c>
      <c r="E15" s="15">
        <f t="shared" si="1"/>
        <v>100000</v>
      </c>
      <c r="F15" s="15">
        <f t="shared" si="1"/>
        <v>100000</v>
      </c>
      <c r="G15" s="15">
        <f t="shared" si="1"/>
        <v>100000</v>
      </c>
    </row>
    <row r="16" spans="1:7" x14ac:dyDescent="0.25">
      <c r="A16" t="s">
        <v>149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150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151</v>
      </c>
      <c r="B18">
        <f>B14-B15+B16-B17</f>
        <v>500000</v>
      </c>
      <c r="C18" s="15">
        <f>C14-C15+C16-C17</f>
        <v>-100000</v>
      </c>
      <c r="D18" s="15">
        <f t="shared" ref="D18:G18" si="2">D14-D15+D16-D17</f>
        <v>-100000</v>
      </c>
      <c r="E18" s="15">
        <f t="shared" si="2"/>
        <v>-100000</v>
      </c>
      <c r="F18" s="15">
        <f t="shared" si="2"/>
        <v>-100000</v>
      </c>
      <c r="G18" s="15">
        <f t="shared" si="2"/>
        <v>-100000</v>
      </c>
    </row>
    <row r="19" spans="1:7" x14ac:dyDescent="0.25">
      <c r="A19" t="s">
        <v>152</v>
      </c>
      <c r="B19" s="15">
        <f>B9+B12+B18</f>
        <v>3741695.2054794524</v>
      </c>
      <c r="C19" s="15">
        <f>C9+C12+C18</f>
        <v>5567398.6438356154</v>
      </c>
      <c r="D19" s="15">
        <f t="shared" ref="D19:G19" si="3">D9+D12+D18</f>
        <v>6219571.8268273985</v>
      </c>
      <c r="E19" s="15">
        <f t="shared" si="3"/>
        <v>6907114.9920483949</v>
      </c>
      <c r="F19" s="15">
        <f t="shared" si="3"/>
        <v>7643626.828657357</v>
      </c>
      <c r="G19" s="15">
        <f t="shared" si="3"/>
        <v>8466081.5621100608</v>
      </c>
    </row>
    <row r="20" spans="1:7" x14ac:dyDescent="0.25">
      <c r="A20" t="s">
        <v>153</v>
      </c>
      <c r="B20">
        <v>1000000</v>
      </c>
      <c r="C20" s="15">
        <v>4741695</v>
      </c>
      <c r="D20">
        <v>10309094</v>
      </c>
      <c r="E20">
        <v>16528666</v>
      </c>
      <c r="F20">
        <v>23435781</v>
      </c>
      <c r="G20">
        <v>31079408</v>
      </c>
    </row>
    <row r="21" spans="1:7" x14ac:dyDescent="0.25">
      <c r="A21" t="s">
        <v>154</v>
      </c>
      <c r="B21" s="15">
        <f>B19+B20</f>
        <v>4741695.2054794524</v>
      </c>
      <c r="C21" s="15">
        <f>C19+C20</f>
        <v>10309093.643835615</v>
      </c>
      <c r="D21" s="15">
        <f>D19+D20</f>
        <v>16528665.826827399</v>
      </c>
      <c r="E21" s="15">
        <f t="shared" ref="E21:G21" si="4">E19+E20</f>
        <v>23435780.992048394</v>
      </c>
      <c r="F21" s="15">
        <f t="shared" si="4"/>
        <v>31079407.828657359</v>
      </c>
      <c r="G21" s="15">
        <f t="shared" si="4"/>
        <v>39545489.562110059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5F67-A3EB-46BA-B0BC-AF295C154BD6}">
  <dimension ref="A1:H34"/>
  <sheetViews>
    <sheetView showGridLines="0" zoomScale="85" zoomScaleNormal="85" workbookViewId="0">
      <selection activeCell="G13" sqref="G13"/>
    </sheetView>
  </sheetViews>
  <sheetFormatPr defaultRowHeight="15" x14ac:dyDescent="0.25"/>
  <cols>
    <col min="1" max="1" width="28.5703125" customWidth="1"/>
    <col min="2" max="2" width="23.140625" customWidth="1"/>
    <col min="3" max="7" width="20" customWidth="1"/>
  </cols>
  <sheetData>
    <row r="1" spans="1:8" x14ac:dyDescent="0.25">
      <c r="A1" s="9" t="s">
        <v>132</v>
      </c>
      <c r="B1" s="9" t="s">
        <v>105</v>
      </c>
      <c r="C1" s="9" t="s">
        <v>106</v>
      </c>
      <c r="D1" s="9" t="s">
        <v>107</v>
      </c>
      <c r="E1" s="9" t="s">
        <v>108</v>
      </c>
      <c r="F1" s="9" t="s">
        <v>109</v>
      </c>
      <c r="G1" s="9" t="s">
        <v>110</v>
      </c>
    </row>
    <row r="2" spans="1:8" x14ac:dyDescent="0.25">
      <c r="A2" s="17" t="s">
        <v>111</v>
      </c>
    </row>
    <row r="3" spans="1:8" x14ac:dyDescent="0.25">
      <c r="A3" t="s">
        <v>112</v>
      </c>
    </row>
    <row r="4" spans="1:8" x14ac:dyDescent="0.25">
      <c r="A4" t="s">
        <v>113</v>
      </c>
      <c r="B4" s="15">
        <f>'Cash Flow'!B21</f>
        <v>4741695.2054794524</v>
      </c>
      <c r="C4" s="15">
        <f>'Cash Flow'!C21</f>
        <v>10309093.643835615</v>
      </c>
      <c r="D4" s="15">
        <f>'Cash Flow'!D21</f>
        <v>16528665.826827399</v>
      </c>
      <c r="E4" s="15">
        <f>'Cash Flow'!E21</f>
        <v>23435780.992048394</v>
      </c>
      <c r="F4" s="15">
        <f>'Cash Flow'!F21</f>
        <v>31079407.828657359</v>
      </c>
      <c r="G4" s="15">
        <f>'Cash Flow'!G21</f>
        <v>39545489.562110059</v>
      </c>
    </row>
    <row r="5" spans="1:8" x14ac:dyDescent="0.25">
      <c r="A5" t="s">
        <v>58</v>
      </c>
      <c r="B5">
        <f>('P&amp;L (Profit &amp; Loss)'!B2 * Inputs!B46 / 365)</f>
        <v>1124383.5616438356</v>
      </c>
      <c r="C5">
        <f>('P&amp;L (Profit &amp; Loss)'!B3* Inputs!B46 / 365)</f>
        <v>1185116.0547945206</v>
      </c>
      <c r="D5">
        <f>('P&amp;L (Profit &amp; Loss)'!B4 * Inputs!B46 / 365)</f>
        <v>1334272.9102027398</v>
      </c>
      <c r="E5">
        <f>('P&amp;L (Profit &amp; Loss)'!B5 * Inputs!B46 / 365)</f>
        <v>1472026.4940728815</v>
      </c>
      <c r="F5">
        <f>('P&amp;L (Profit &amp; Loss)'!B6 * Inputs!B46 / 365)</f>
        <v>1624118.7423609018</v>
      </c>
      <c r="G5">
        <f>('P&amp;L (Profit &amp; Loss)'!B7 * Inputs!B46 / 365)</f>
        <v>1792053.9306423755</v>
      </c>
    </row>
    <row r="6" spans="1:8" x14ac:dyDescent="0.25">
      <c r="A6" t="s">
        <v>114</v>
      </c>
      <c r="B6">
        <f>('P&amp;L (Profit &amp; Loss)'!C2 * Inputs!B47/ 365)</f>
        <v>337315.0684931507</v>
      </c>
      <c r="C6">
        <f>('P&amp;L (Profit &amp; Loss)'!C3 * Inputs!B47/ 365)</f>
        <v>355534.81643835618</v>
      </c>
      <c r="D6">
        <f>('P&amp;L (Profit &amp; Loss)'!C4 * Inputs!B47/ 365)</f>
        <v>400281.8730608219</v>
      </c>
      <c r="E6">
        <f>('P&amp;L (Profit &amp; Loss)'!C5 * Inputs!B47/ 365)</f>
        <v>441607.94822186435</v>
      </c>
      <c r="F6">
        <f>('P&amp;L (Profit &amp; Loss)'!C6 * Inputs!B47/ 365)</f>
        <v>487235.6227082705</v>
      </c>
      <c r="G6">
        <f>('P&amp;L (Profit &amp; Loss)'!C7* Inputs!B47/ 365)</f>
        <v>537616.17919271265</v>
      </c>
    </row>
    <row r="7" spans="1:8" x14ac:dyDescent="0.25">
      <c r="A7" t="s">
        <v>115</v>
      </c>
      <c r="B7">
        <v>0</v>
      </c>
      <c r="C7">
        <v>0</v>
      </c>
      <c r="D7">
        <v>0</v>
      </c>
      <c r="E7">
        <v>0</v>
      </c>
      <c r="G7">
        <v>0</v>
      </c>
    </row>
    <row r="8" spans="1:8" x14ac:dyDescent="0.25">
      <c r="A8" t="s">
        <v>116</v>
      </c>
      <c r="B8">
        <f>SUM(B3:B6)</f>
        <v>6203393.8356164386</v>
      </c>
      <c r="C8" s="15">
        <f>C4+C5+C6</f>
        <v>11849744.515068492</v>
      </c>
      <c r="D8" s="15">
        <f>D4+D5+D6</f>
        <v>18263220.610090964</v>
      </c>
      <c r="E8" s="15">
        <f>E4+E5+E6</f>
        <v>25349415.434343141</v>
      </c>
      <c r="F8" s="15">
        <f>F4+F5+F6</f>
        <v>33190762.193726532</v>
      </c>
      <c r="G8" s="15">
        <f>G4+G5+G6</f>
        <v>41875159.671945147</v>
      </c>
    </row>
    <row r="9" spans="1:8" x14ac:dyDescent="0.25">
      <c r="A9" t="s">
        <v>117</v>
      </c>
      <c r="B9" s="15">
        <v>1150000</v>
      </c>
      <c r="C9" s="15">
        <v>1150000</v>
      </c>
      <c r="D9" s="15">
        <v>1150000</v>
      </c>
      <c r="E9" s="15">
        <v>1150000</v>
      </c>
      <c r="F9" s="15">
        <v>1150000</v>
      </c>
      <c r="G9" s="15">
        <v>1150000</v>
      </c>
    </row>
    <row r="10" spans="1:8" x14ac:dyDescent="0.25">
      <c r="A10" t="s">
        <v>118</v>
      </c>
      <c r="B10" s="15">
        <v>115000</v>
      </c>
      <c r="C10" s="15">
        <f>B10 + 'P&amp;L (Profit &amp; Loss)'!F3</f>
        <v>230000</v>
      </c>
      <c r="D10" s="15">
        <f>C10 + 'P&amp;L (Profit &amp; Loss)'!F4</f>
        <v>345000</v>
      </c>
      <c r="E10" s="15">
        <f>D10 + 'P&amp;L (Profit &amp; Loss)'!F5</f>
        <v>460000</v>
      </c>
      <c r="F10" s="15">
        <f>E10 + 'P&amp;L (Profit &amp; Loss)'!F6</f>
        <v>575000</v>
      </c>
      <c r="G10" s="15">
        <f>F10 + 'P&amp;L (Profit &amp; Loss)'!F7</f>
        <v>575000</v>
      </c>
    </row>
    <row r="11" spans="1:8" x14ac:dyDescent="0.25">
      <c r="A11" t="s">
        <v>119</v>
      </c>
      <c r="B11" s="15">
        <f>B9-B10</f>
        <v>1035000</v>
      </c>
      <c r="C11" s="15">
        <f>C9-C10</f>
        <v>920000</v>
      </c>
      <c r="D11" s="15">
        <f>D9-D10</f>
        <v>805000</v>
      </c>
      <c r="E11" s="15">
        <f t="shared" ref="E11:G11" si="0">E9-E10</f>
        <v>690000</v>
      </c>
      <c r="F11" s="15">
        <f t="shared" si="0"/>
        <v>575000</v>
      </c>
      <c r="G11" s="15">
        <f t="shared" si="0"/>
        <v>575000</v>
      </c>
    </row>
    <row r="12" spans="1:8" x14ac:dyDescent="0.25">
      <c r="A12" s="29" t="s">
        <v>103</v>
      </c>
      <c r="B12" s="30">
        <f>B8+B11</f>
        <v>7238393.8356164386</v>
      </c>
      <c r="C12" s="30">
        <f>C8+C11</f>
        <v>12769744.515068492</v>
      </c>
      <c r="D12" s="30">
        <f>D8+D11</f>
        <v>19068220.610090964</v>
      </c>
      <c r="E12" s="30">
        <f t="shared" ref="E12:G12" si="1">E8+E11</f>
        <v>26039415.434343141</v>
      </c>
      <c r="F12" s="30">
        <f t="shared" si="1"/>
        <v>33765762.193726532</v>
      </c>
      <c r="G12" s="30">
        <f t="shared" si="1"/>
        <v>42450159.671945147</v>
      </c>
      <c r="H12" s="31"/>
    </row>
    <row r="14" spans="1:8" x14ac:dyDescent="0.25">
      <c r="A14" s="17" t="s">
        <v>120</v>
      </c>
    </row>
    <row r="15" spans="1:8" x14ac:dyDescent="0.25">
      <c r="A15" t="s">
        <v>121</v>
      </c>
    </row>
    <row r="16" spans="1:8" x14ac:dyDescent="0.25">
      <c r="A16" t="s">
        <v>62</v>
      </c>
      <c r="B16">
        <f>('P&amp;L (Profit &amp; Loss)'!C2* Inputs!B48 / 365)</f>
        <v>421643.83561643836</v>
      </c>
      <c r="C16">
        <f>('P&amp;L (Profit &amp; Loss)'!C3* Inputs!B48 / 365)</f>
        <v>444418.52054794523</v>
      </c>
      <c r="D16">
        <f>('P&amp;L (Profit &amp; Loss)'!C4* Inputs!B48 / 365)</f>
        <v>500352.34132602735</v>
      </c>
      <c r="E16">
        <f>('P&amp;L (Profit &amp; Loss)'!C5* Inputs!B48 / 365)</f>
        <v>552009.93527733046</v>
      </c>
      <c r="F16">
        <f>('P&amp;L (Profit &amp; Loss)'!C6* Inputs!B48 / 365)</f>
        <v>609044.52838533814</v>
      </c>
      <c r="G16">
        <f>('P&amp;L (Profit &amp; Loss)'!C7* Inputs!B48 / 365)</f>
        <v>672020.22399089078</v>
      </c>
    </row>
    <row r="17" spans="1:7" x14ac:dyDescent="0.25">
      <c r="A17" t="s">
        <v>122</v>
      </c>
      <c r="B17">
        <f>IF(COLUMN()-COLUMN($B$17)+1 &lt;= Inputs!$D$31, Inputs!$B$31/Inputs!$D$31, 0)</f>
        <v>100000</v>
      </c>
      <c r="C17">
        <f>IF(COLUMN()-COLUMN($B$17)+1 &lt;= Inputs!$D$31, Inputs!$B$31/Inputs!$D$31, 0)</f>
        <v>100000</v>
      </c>
      <c r="D17">
        <f>IF(COLUMN()-COLUMN($B$17)+1 &lt;= Inputs!$D$31, Inputs!$B$31/Inputs!$D$31, 0)</f>
        <v>100000</v>
      </c>
      <c r="E17">
        <f>IF(COLUMN()-COLUMN($B$17)+1 &lt;= Inputs!$D$31, Inputs!$B$31/Inputs!$D$31, 0)</f>
        <v>100000</v>
      </c>
      <c r="F17">
        <f>IF(COLUMN()-COLUMN($B$17)+1 &lt;= Inputs!$D$31, Inputs!$B$31/Inputs!$D$31, 0)</f>
        <v>100000</v>
      </c>
      <c r="G17">
        <f>IF(COLUMN()-COLUMN($B$17)+1 &lt;= Inputs!$D$31, Inputs!$B$31/Inputs!$D$31, 0)</f>
        <v>0</v>
      </c>
    </row>
    <row r="18" spans="1:7" x14ac:dyDescent="0.25">
      <c r="A18" t="s">
        <v>123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124</v>
      </c>
      <c r="B19">
        <f>B16+B17</f>
        <v>521643.83561643836</v>
      </c>
      <c r="C19">
        <f t="shared" ref="C19:E19" si="2">C16+C17</f>
        <v>544418.52054794529</v>
      </c>
      <c r="D19">
        <f t="shared" si="2"/>
        <v>600352.34132602741</v>
      </c>
      <c r="E19">
        <f t="shared" si="2"/>
        <v>652009.93527733046</v>
      </c>
      <c r="F19">
        <f>F16+F17</f>
        <v>709044.52838533814</v>
      </c>
      <c r="G19">
        <f>G16+G17</f>
        <v>672020.22399089078</v>
      </c>
    </row>
    <row r="20" spans="1:7" x14ac:dyDescent="0.25">
      <c r="A20" t="s">
        <v>125</v>
      </c>
      <c r="B20">
        <v>400000</v>
      </c>
      <c r="C20" s="15">
        <f>B20 - 'Cash Flow'!C15</f>
        <v>300000</v>
      </c>
      <c r="D20" s="15">
        <f>C20 - 'Cash Flow'!D15</f>
        <v>200000</v>
      </c>
      <c r="E20" s="15">
        <f>D20 - 'Cash Flow'!E15</f>
        <v>100000</v>
      </c>
      <c r="F20" s="15">
        <f>E20 - 'Cash Flow'!F15</f>
        <v>0</v>
      </c>
      <c r="G20" s="15">
        <f>MAX(0, F18 - 'Cash Flow'!G15)</f>
        <v>0</v>
      </c>
    </row>
    <row r="21" spans="1:7" x14ac:dyDescent="0.25">
      <c r="A21" t="s">
        <v>126</v>
      </c>
      <c r="B21">
        <f>B19+B20</f>
        <v>921643.83561643842</v>
      </c>
      <c r="C21">
        <f t="shared" ref="C21:G21" si="3">C19+C20</f>
        <v>844418.52054794529</v>
      </c>
      <c r="D21">
        <f t="shared" si="3"/>
        <v>800352.34132602741</v>
      </c>
      <c r="E21">
        <f t="shared" si="3"/>
        <v>752009.93527733046</v>
      </c>
      <c r="F21">
        <f t="shared" si="3"/>
        <v>709044.52838533814</v>
      </c>
      <c r="G21">
        <f t="shared" si="3"/>
        <v>672020.22399089078</v>
      </c>
    </row>
    <row r="22" spans="1:7" x14ac:dyDescent="0.25">
      <c r="A22" t="s">
        <v>127</v>
      </c>
    </row>
    <row r="23" spans="1:7" x14ac:dyDescent="0.25">
      <c r="A23" t="s">
        <v>128</v>
      </c>
      <c r="B23" s="15">
        <v>1000000</v>
      </c>
      <c r="C23" s="15">
        <v>1000000</v>
      </c>
      <c r="D23" s="15">
        <v>1000000</v>
      </c>
      <c r="E23" s="15">
        <v>1000000</v>
      </c>
      <c r="F23" s="15">
        <v>1000000</v>
      </c>
      <c r="G23" s="15">
        <v>1000000</v>
      </c>
    </row>
    <row r="24" spans="1:7" x14ac:dyDescent="0.25">
      <c r="A24" t="s">
        <v>129</v>
      </c>
      <c r="B24" s="15">
        <f>'P&amp;L (Profit &amp; Loss)'!K2</f>
        <v>5316750</v>
      </c>
      <c r="C24" s="15">
        <f>B24 + 'P&amp;L (Profit &amp; Loss)'!K3</f>
        <v>10925326.199999999</v>
      </c>
      <c r="D24" s="15">
        <f>C24 + 'P&amp;L (Profit &amp; Loss)'!K4</f>
        <v>17267868.118080001</v>
      </c>
      <c r="E24" s="15">
        <f>D24 + 'P&amp;L (Profit &amp; Loss)'!K5</f>
        <v>24287405.175208278</v>
      </c>
      <c r="F24" s="15">
        <f>E24 + 'P&amp;L (Profit &amp; Loss)'!K6</f>
        <v>32056717.333532054</v>
      </c>
      <c r="G24" s="15">
        <f>F24 + 'P&amp;L (Profit &amp; Loss)'!K7</f>
        <v>40778138.944802478</v>
      </c>
    </row>
    <row r="25" spans="1:7" x14ac:dyDescent="0.25">
      <c r="A25" t="s">
        <v>130</v>
      </c>
      <c r="B25" s="15">
        <f>B23+B24</f>
        <v>6316750</v>
      </c>
      <c r="C25" s="15">
        <f>C23+C24</f>
        <v>11925326.199999999</v>
      </c>
      <c r="D25" s="15">
        <f>D23+D24</f>
        <v>18267868.118080001</v>
      </c>
      <c r="E25" s="15">
        <f t="shared" ref="E25:G25" si="4">E23+E24</f>
        <v>25287405.175208278</v>
      </c>
      <c r="F25" s="15">
        <f t="shared" si="4"/>
        <v>33056717.333532054</v>
      </c>
      <c r="G25" s="15">
        <f t="shared" si="4"/>
        <v>41778138.944802478</v>
      </c>
    </row>
    <row r="26" spans="1:7" x14ac:dyDescent="0.25">
      <c r="A26" s="29" t="s">
        <v>131</v>
      </c>
      <c r="B26" s="30">
        <f>B21+B25</f>
        <v>7238393.8356164386</v>
      </c>
      <c r="C26" s="30">
        <f>C21+C25</f>
        <v>12769744.720547944</v>
      </c>
      <c r="D26" s="30">
        <f t="shared" ref="D26:G26" si="5">D21+D25</f>
        <v>19068220.459406029</v>
      </c>
      <c r="E26" s="30">
        <f t="shared" si="5"/>
        <v>26039415.11048561</v>
      </c>
      <c r="F26" s="30">
        <f t="shared" si="5"/>
        <v>33765761.861917391</v>
      </c>
      <c r="G26" s="30">
        <f t="shared" si="5"/>
        <v>42450159.168793365</v>
      </c>
    </row>
    <row r="34" spans="4:4" x14ac:dyDescent="0.25">
      <c r="D34" t="s">
        <v>155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6625-7924-438F-9A33-F3AC38352213}">
  <dimension ref="A1:I7"/>
  <sheetViews>
    <sheetView workbookViewId="0">
      <selection activeCell="E15" sqref="E15"/>
    </sheetView>
  </sheetViews>
  <sheetFormatPr defaultRowHeight="15" x14ac:dyDescent="0.25"/>
  <cols>
    <col min="2" max="2" width="16.28515625" customWidth="1"/>
    <col min="3" max="3" width="19.7109375" customWidth="1"/>
    <col min="4" max="4" width="21.85546875" customWidth="1"/>
    <col min="5" max="5" width="24.140625" customWidth="1"/>
    <col min="6" max="6" width="19.140625" customWidth="1"/>
    <col min="7" max="7" width="18.42578125" customWidth="1"/>
    <col min="8" max="8" width="23.85546875" customWidth="1"/>
    <col min="9" max="9" width="21.140625" customWidth="1"/>
  </cols>
  <sheetData>
    <row r="1" spans="1:9" x14ac:dyDescent="0.25">
      <c r="A1" s="26" t="s">
        <v>170</v>
      </c>
      <c r="B1" s="26" t="s">
        <v>171</v>
      </c>
      <c r="C1" s="26" t="s">
        <v>156</v>
      </c>
      <c r="D1" s="26" t="s">
        <v>157</v>
      </c>
      <c r="E1" s="26" t="s">
        <v>158</v>
      </c>
      <c r="F1" s="26" t="s">
        <v>159</v>
      </c>
      <c r="G1" s="26" t="s">
        <v>160</v>
      </c>
      <c r="H1" s="26" t="s">
        <v>161</v>
      </c>
      <c r="I1" s="26" t="s">
        <v>162</v>
      </c>
    </row>
    <row r="2" spans="1:9" x14ac:dyDescent="0.25">
      <c r="A2">
        <v>2025</v>
      </c>
      <c r="B2">
        <f>'P&amp;L (Profit &amp; Loss)'!B2</f>
        <v>13680000</v>
      </c>
      <c r="C2" s="15">
        <f>'P&amp;L (Profit &amp; Loss)'!C2</f>
        <v>6156000</v>
      </c>
      <c r="D2" s="13">
        <f>E2/ Inputs!$C$12</f>
        <v>368.8235294117647</v>
      </c>
      <c r="E2" s="15">
        <f>B2-C2</f>
        <v>7524000</v>
      </c>
      <c r="F2" s="15">
        <f>'P&amp;L (Profit &amp; Loss)'!D2</f>
        <v>270000</v>
      </c>
      <c r="G2" s="13">
        <f>F2/D2</f>
        <v>732.05741626794259</v>
      </c>
      <c r="H2" s="13">
        <f>G2* (B2 / Inputs!$C$12)</f>
        <v>490909.09090909094</v>
      </c>
      <c r="I2" s="22">
        <f xml:space="preserve"> (Inputs!$C$12 - G2) / Inputs!$C$12</f>
        <v>0.96411483253588515</v>
      </c>
    </row>
    <row r="3" spans="1:9" x14ac:dyDescent="0.25">
      <c r="A3">
        <v>2026</v>
      </c>
      <c r="B3">
        <f>'P&amp;L (Profit &amp; Loss)'!B3</f>
        <v>14418912</v>
      </c>
      <c r="C3" s="15">
        <f>'P&amp;L (Profit &amp; Loss)'!C3</f>
        <v>6488510.4000000004</v>
      </c>
      <c r="D3" s="13">
        <f>E3/ Inputs!$C$12</f>
        <v>388.74517647058821</v>
      </c>
      <c r="E3" s="15">
        <f t="shared" ref="E3:E7" si="0">B3-C3</f>
        <v>7930401.5999999996</v>
      </c>
      <c r="F3" s="15">
        <f>'P&amp;L (Profit &amp; Loss)'!D3</f>
        <v>287300</v>
      </c>
      <c r="G3" s="13">
        <f t="shared" ref="G3:G7" si="1">F3/D3</f>
        <v>739.04453968636346</v>
      </c>
      <c r="H3" s="13">
        <f>G3* (B3 / Inputs!$C$12)</f>
        <v>522363.63636363635</v>
      </c>
      <c r="I3" s="22">
        <f xml:space="preserve"> (Inputs!$C$12 - G3) / Inputs!$C$12</f>
        <v>0.96377232648596245</v>
      </c>
    </row>
    <row r="4" spans="1:9" x14ac:dyDescent="0.25">
      <c r="A4">
        <v>2027</v>
      </c>
      <c r="B4">
        <f>'P&amp;L (Profit &amp; Loss)'!B4</f>
        <v>16233653.740800001</v>
      </c>
      <c r="C4" s="15">
        <f>'P&amp;L (Profit &amp; Loss)'!C4</f>
        <v>7305144.1833600001</v>
      </c>
      <c r="D4" s="13">
        <f>E4/ Inputs!$C$12</f>
        <v>437.67203712941182</v>
      </c>
      <c r="E4" s="15">
        <f t="shared" si="0"/>
        <v>8928509.5574400015</v>
      </c>
      <c r="F4" s="15">
        <f>'P&amp;L (Profit &amp; Loss)'!D4</f>
        <v>306787</v>
      </c>
      <c r="G4" s="13">
        <f t="shared" si="1"/>
        <v>700.95179489223017</v>
      </c>
      <c r="H4" s="13">
        <f>G4* (B4 / Inputs!$C$12)</f>
        <v>557794.54545454541</v>
      </c>
      <c r="I4" s="22">
        <f xml:space="preserve"> (Inputs!$C$12 - G4) / Inputs!$C$12</f>
        <v>0.96563961789743968</v>
      </c>
    </row>
    <row r="5" spans="1:9" x14ac:dyDescent="0.25">
      <c r="A5">
        <v>2028</v>
      </c>
      <c r="B5">
        <f>'P&amp;L (Profit &amp; Loss)'!B5</f>
        <v>17909655.677886724</v>
      </c>
      <c r="C5" s="15">
        <f>'P&amp;L (Profit &amp; Loss)'!C5</f>
        <v>8059345.0550490245</v>
      </c>
      <c r="D5" s="13">
        <f>E5/ Inputs!$C$12</f>
        <v>482.85836386459312</v>
      </c>
      <c r="E5" s="15">
        <f t="shared" si="0"/>
        <v>9850310.6228376999</v>
      </c>
      <c r="F5" s="15">
        <f>'P&amp;L (Profit &amp; Loss)'!D5</f>
        <v>325927.88</v>
      </c>
      <c r="G5" s="13">
        <f t="shared" si="1"/>
        <v>674.99686117355782</v>
      </c>
      <c r="H5" s="13">
        <f>G5* (B5 / Inputs!$C$12)</f>
        <v>592596.14545454539</v>
      </c>
      <c r="I5" s="22">
        <f xml:space="preserve"> (Inputs!$C$12 - G5) / Inputs!$C$12</f>
        <v>0.96691191856992365</v>
      </c>
    </row>
    <row r="6" spans="1:9" x14ac:dyDescent="0.25">
      <c r="A6">
        <v>2029</v>
      </c>
      <c r="B6">
        <f>'P&amp;L (Profit &amp; Loss)'!B6</f>
        <v>19760111.365390971</v>
      </c>
      <c r="C6" s="15">
        <f>'P&amp;L (Profit &amp; Loss)'!C6</f>
        <v>8892050.1144259367</v>
      </c>
      <c r="D6" s="13">
        <f>E6/ Inputs!$C$12</f>
        <v>532.74810053750173</v>
      </c>
      <c r="E6" s="15">
        <f t="shared" si="0"/>
        <v>10868061.250965035</v>
      </c>
      <c r="F6" s="15">
        <f>'P&amp;L (Profit &amp; Loss)'!D6</f>
        <v>343978.37320000003</v>
      </c>
      <c r="G6" s="13">
        <f t="shared" si="1"/>
        <v>645.667948610145</v>
      </c>
      <c r="H6" s="13">
        <f>G6* (B6 / Inputs!$C$12)</f>
        <v>625415.22399999993</v>
      </c>
      <c r="I6" s="22">
        <f xml:space="preserve"> (Inputs!$C$12 - G6) / Inputs!$C$12</f>
        <v>0.96834961036224776</v>
      </c>
    </row>
    <row r="7" spans="1:9" x14ac:dyDescent="0.25">
      <c r="A7">
        <v>2030</v>
      </c>
      <c r="B7">
        <f>'P&amp;L (Profit &amp; Loss)'!B7</f>
        <v>21803322.822815571</v>
      </c>
      <c r="C7" s="15">
        <f>'P&amp;L (Profit &amp; Loss)'!C7</f>
        <v>9811495.270267006</v>
      </c>
      <c r="D7" s="13">
        <f>E7/ Inputs!$C$12</f>
        <v>587.83468394845909</v>
      </c>
      <c r="E7" s="15">
        <f t="shared" si="0"/>
        <v>11991827.552548565</v>
      </c>
      <c r="F7" s="15">
        <f>'P&amp;L (Profit &amp; Loss)'!D7</f>
        <v>363265.40418800013</v>
      </c>
      <c r="G7" s="13">
        <f t="shared" si="1"/>
        <v>617.97204912776294</v>
      </c>
      <c r="H7" s="13">
        <f>G7* (B7 / Inputs!$C$12)</f>
        <v>660482.55306909117</v>
      </c>
      <c r="I7" s="22">
        <f xml:space="preserve"> (Inputs!$C$12 - G7) / Inputs!$C$12</f>
        <v>0.96970725249373713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6D27-1C65-4F63-BEE4-5E26EC0F68AA}">
  <dimension ref="A3:S8"/>
  <sheetViews>
    <sheetView showGridLines="0" tabSelected="1" zoomScale="55" zoomScaleNormal="55" workbookViewId="0">
      <selection activeCell="AE27" sqref="AE27"/>
    </sheetView>
  </sheetViews>
  <sheetFormatPr defaultRowHeight="15" x14ac:dyDescent="0.25"/>
  <sheetData>
    <row r="3" spans="1:19" ht="45" customHeight="1" x14ac:dyDescent="0.25"/>
    <row r="4" spans="1:19" x14ac:dyDescent="0.25"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19" hidden="1" x14ac:dyDescent="0.25">
      <c r="A5" s="15">
        <f>'P&amp;L (Profit &amp; Loss)'!B2-'P&amp;L (Profit &amp; Loss)'!C2</f>
        <v>7524000</v>
      </c>
    </row>
    <row r="8" spans="1:19" x14ac:dyDescent="0.25">
      <c r="H8" s="15"/>
      <c r="I8" s="15"/>
      <c r="J8" s="15"/>
      <c r="K8" s="15"/>
      <c r="M8" s="15"/>
      <c r="S8" s="19"/>
    </row>
  </sheetData>
  <mergeCells count="1">
    <mergeCell ref="C4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Inputs</vt:lpstr>
      <vt:lpstr>Revenue Forecast</vt:lpstr>
      <vt:lpstr>Cost Breakdown</vt:lpstr>
      <vt:lpstr>profit revenue desgin</vt:lpstr>
      <vt:lpstr>cost breakdown desgin</vt:lpstr>
      <vt:lpstr>P&amp;L (Profit &amp; Loss)</vt:lpstr>
      <vt:lpstr>Cash Flow</vt:lpstr>
      <vt:lpstr>Balance Sheet</vt:lpstr>
      <vt:lpstr>Break-Even</vt:lpstr>
      <vt:lpstr>Dashboard</vt:lpstr>
      <vt:lpstr>BE_Contribution</vt:lpstr>
      <vt:lpstr>BE_Fixed</vt:lpstr>
      <vt:lpstr>BE_MOS</vt:lpstr>
      <vt:lpstr>BE_Revenue</vt:lpstr>
      <vt:lpstr>BE_SalesValue</vt:lpstr>
      <vt:lpstr>BE_Units</vt:lpstr>
      <vt:lpstr>BE_Years</vt:lpstr>
      <vt:lpstr>CF_ClosingCash</vt:lpstr>
      <vt:lpstr>CF_FinancingCash</vt:lpstr>
      <vt:lpstr>CF_InvestingCash.</vt:lpstr>
      <vt:lpstr>CF_NetChange</vt:lpstr>
      <vt:lpstr>CF_OperatingCash</vt:lpstr>
      <vt:lpstr>EBIT</vt:lpstr>
      <vt:lpstr>Net_Profit</vt:lpstr>
      <vt:lpstr>Profit_Before_Tax</vt:lpstr>
      <vt:lpstr>Revenue_Values</vt:lpstr>
      <vt:lpstr>Total_Costs</vt:lpstr>
      <vt:lpstr>Total_Fixed_Costs</vt:lpstr>
      <vt:lpstr>Total_Variable_Costs</vt:lpstr>
      <vt:lpstr>Year_Values.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munna</dc:creator>
  <cp:lastModifiedBy>md munna</cp:lastModifiedBy>
  <dcterms:created xsi:type="dcterms:W3CDTF">2025-09-12T05:18:50Z</dcterms:created>
  <dcterms:modified xsi:type="dcterms:W3CDTF">2025-09-27T03:39:50Z</dcterms:modified>
</cp:coreProperties>
</file>